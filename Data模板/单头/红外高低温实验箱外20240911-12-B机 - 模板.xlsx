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E:\QTProject\GrauateDesign_demo1-v1.1\Data模板\单头\"/>
    </mc:Choice>
  </mc:AlternateContent>
  <xr:revisionPtr revIDLastSave="0" documentId="13_ncr:1_{35DA62CC-0673-4826-AAD4-56C429E60FAD}" xr6:coauthVersionLast="47" xr6:coauthVersionMax="47" xr10:uidLastSave="{00000000-0000-0000-0000-000000000000}"/>
  <bookViews>
    <workbookView xWindow="-28920" yWindow="-120" windowWidth="29040" windowHeight="15720" tabRatio="617" activeTab="2" xr2:uid="{CD04F070-B19F-4D0F-A955-EED983656FDE}"/>
  </bookViews>
  <sheets>
    <sheet name="标准" sheetId="19" r:id="rId1"/>
    <sheet name="C单头4支-34-37" sheetId="30" r:id="rId2"/>
    <sheet name="D单头4支-38-41" sheetId="36" r:id="rId3"/>
    <sheet name="E单头2支-43,44" sheetId="35" r:id="rId4"/>
  </sheets>
  <calcPr calcId="191029"/>
</workbook>
</file>

<file path=xl/calcChain.xml><?xml version="1.0" encoding="utf-8"?>
<calcChain xmlns="http://schemas.openxmlformats.org/spreadsheetml/2006/main">
  <c r="T86" i="19" l="1"/>
  <c r="Z86" i="19"/>
  <c r="Y46" i="19"/>
  <c r="U45" i="19"/>
  <c r="Z40" i="19"/>
  <c r="Z39" i="19"/>
  <c r="X39" i="19"/>
  <c r="V41" i="19"/>
  <c r="Y42" i="19"/>
  <c r="X48" i="19"/>
  <c r="Z49" i="19"/>
  <c r="Z51" i="19"/>
  <c r="W37" i="19"/>
  <c r="W36" i="19"/>
  <c r="Y33" i="19"/>
  <c r="Z7" i="19"/>
  <c r="Y13" i="19"/>
  <c r="U13" i="19"/>
  <c r="Y11" i="19"/>
  <c r="X12" i="19"/>
  <c r="X16" i="19"/>
  <c r="X17" i="19"/>
  <c r="W18" i="19"/>
  <c r="X19" i="19"/>
  <c r="W21" i="19"/>
  <c r="V22" i="19"/>
  <c r="Y23" i="19"/>
  <c r="V23" i="19"/>
  <c r="Z24" i="19"/>
  <c r="V35" i="19"/>
  <c r="V34" i="19"/>
  <c r="X47" i="19"/>
  <c r="U43" i="19"/>
  <c r="Z46" i="19"/>
  <c r="X45" i="19"/>
  <c r="X46" i="19"/>
  <c r="W7" i="19"/>
  <c r="X7" i="19"/>
  <c r="U7" i="19"/>
  <c r="V7" i="19"/>
  <c r="X95" i="19"/>
  <c r="W89" i="19"/>
  <c r="Y83" i="19"/>
  <c r="W77" i="19"/>
  <c r="V78" i="19"/>
  <c r="X71" i="19"/>
  <c r="V65" i="19"/>
  <c r="U59" i="19"/>
  <c r="X53" i="19"/>
  <c r="V29" i="19"/>
  <c r="V6" i="19"/>
  <c r="Z4" i="19"/>
  <c r="Y5" i="19"/>
  <c r="W9" i="19"/>
  <c r="X10" i="19"/>
  <c r="U10" i="19"/>
  <c r="Y25" i="19"/>
  <c r="Z27" i="19"/>
  <c r="U28" i="19"/>
  <c r="Y28" i="19"/>
  <c r="W30" i="19"/>
  <c r="X31" i="19"/>
  <c r="X52" i="19"/>
  <c r="X54" i="19"/>
  <c r="W55" i="19"/>
  <c r="Z55" i="19"/>
  <c r="U55" i="19"/>
  <c r="V57" i="19"/>
  <c r="V58" i="19"/>
  <c r="W60" i="19"/>
  <c r="V61" i="19"/>
  <c r="Y63" i="19"/>
  <c r="Z64" i="19"/>
  <c r="W66" i="19"/>
  <c r="Y67" i="19"/>
  <c r="W69" i="19"/>
  <c r="X70" i="19"/>
  <c r="X72" i="19"/>
  <c r="Z73" i="19"/>
  <c r="X75" i="19"/>
  <c r="W76" i="19"/>
  <c r="W79" i="19"/>
  <c r="V81" i="19"/>
  <c r="V82" i="19"/>
  <c r="X84" i="19"/>
  <c r="X85" i="19"/>
  <c r="W87" i="19"/>
  <c r="Y88" i="19"/>
  <c r="Z90" i="19"/>
  <c r="X91" i="19"/>
  <c r="U93" i="19"/>
  <c r="W94" i="19"/>
  <c r="Z96" i="19"/>
  <c r="V97" i="19"/>
  <c r="W3" i="19"/>
  <c r="V21" i="19"/>
  <c r="V69" i="19"/>
  <c r="X69" i="19"/>
  <c r="U69" i="19"/>
  <c r="U53" i="19"/>
  <c r="W86" i="19"/>
  <c r="X86" i="19"/>
  <c r="U86" i="19"/>
  <c r="Y86" i="19"/>
  <c r="V86" i="19"/>
  <c r="V46" i="19"/>
  <c r="U70" i="19"/>
  <c r="V5" i="19"/>
  <c r="W5" i="19"/>
  <c r="X23" i="19"/>
  <c r="Z21" i="19"/>
  <c r="X21" i="19"/>
  <c r="U21" i="19"/>
  <c r="W22" i="19"/>
  <c r="Z22" i="19"/>
  <c r="X76" i="19"/>
  <c r="U76" i="19"/>
  <c r="V76" i="19"/>
  <c r="W43" i="19"/>
  <c r="V66" i="19"/>
  <c r="Y66" i="19"/>
  <c r="Z79" i="19"/>
  <c r="V79" i="19"/>
  <c r="U16" i="19"/>
  <c r="X43" i="19"/>
  <c r="W13" i="19"/>
  <c r="Z76" i="19"/>
  <c r="Z66" i="19"/>
  <c r="Z84" i="19"/>
  <c r="U66" i="19"/>
  <c r="Z67" i="19"/>
  <c r="W53" i="19"/>
  <c r="V28" i="19"/>
  <c r="Y12" i="19"/>
  <c r="Y61" i="19"/>
  <c r="X28" i="19"/>
  <c r="Z13" i="19"/>
  <c r="W45" i="19"/>
  <c r="V70" i="19"/>
  <c r="W59" i="19"/>
  <c r="X13" i="19"/>
  <c r="Y7" i="19"/>
  <c r="Y72" i="19"/>
  <c r="U89" i="19"/>
  <c r="X65" i="19"/>
  <c r="Z42" i="19"/>
  <c r="X5" i="19"/>
  <c r="U12" i="19"/>
  <c r="V71" i="19"/>
  <c r="Y64" i="19"/>
  <c r="W71" i="19"/>
  <c r="X42" i="19"/>
  <c r="Y10" i="19"/>
  <c r="U67" i="19"/>
  <c r="U61" i="19"/>
  <c r="W61" i="19"/>
  <c r="U46" i="19"/>
  <c r="U71" i="19"/>
  <c r="X61" i="19"/>
  <c r="U81" i="19"/>
  <c r="Z61" i="19"/>
  <c r="X63" i="19"/>
  <c r="W10" i="19"/>
  <c r="Z10" i="19"/>
  <c r="V63" i="19"/>
  <c r="V13" i="19"/>
  <c r="Z75" i="19"/>
  <c r="W42" i="19"/>
  <c r="V10" i="19"/>
  <c r="Z63" i="19"/>
  <c r="Y81" i="19"/>
  <c r="U24" i="19"/>
  <c r="X97" i="19"/>
  <c r="W97" i="19"/>
  <c r="Y97" i="19"/>
  <c r="U97" i="19"/>
  <c r="Z97" i="19"/>
  <c r="W96" i="19"/>
  <c r="Y96" i="19"/>
  <c r="U96" i="19"/>
  <c r="X96" i="19"/>
  <c r="V96" i="19"/>
  <c r="Y95" i="19"/>
  <c r="W95" i="19"/>
  <c r="V95" i="19"/>
  <c r="Z95" i="19"/>
  <c r="U95" i="19"/>
  <c r="X94" i="19"/>
  <c r="Y94" i="19"/>
  <c r="V94" i="19"/>
  <c r="U94" i="19"/>
  <c r="Z94" i="19"/>
  <c r="V93" i="19"/>
  <c r="X93" i="19"/>
  <c r="W93" i="19"/>
  <c r="Y93" i="19"/>
  <c r="Z93" i="19"/>
  <c r="U91" i="19"/>
  <c r="Z91" i="19"/>
  <c r="Y91" i="19"/>
  <c r="V91" i="19"/>
  <c r="W91" i="19"/>
  <c r="Y90" i="19"/>
  <c r="X90" i="19"/>
  <c r="W90" i="19"/>
  <c r="U90" i="19"/>
  <c r="V90" i="19"/>
  <c r="Z89" i="19"/>
  <c r="Y89" i="19"/>
  <c r="V89" i="19"/>
  <c r="X89" i="19"/>
  <c r="X88" i="19"/>
  <c r="V88" i="19"/>
  <c r="W88" i="19"/>
  <c r="Z88" i="19"/>
  <c r="U88" i="19"/>
  <c r="V87" i="19"/>
  <c r="Y87" i="19"/>
  <c r="X87" i="19"/>
  <c r="U87" i="19"/>
  <c r="Z87" i="19"/>
  <c r="U85" i="19"/>
  <c r="W85" i="19"/>
  <c r="Z85" i="19"/>
  <c r="Y85" i="19"/>
  <c r="V85" i="19"/>
  <c r="V84" i="19"/>
  <c r="W84" i="19"/>
  <c r="Y84" i="19"/>
  <c r="U84" i="19"/>
  <c r="Z83" i="19"/>
  <c r="W83" i="19"/>
  <c r="V83" i="19"/>
  <c r="U83" i="19"/>
  <c r="X83" i="19"/>
  <c r="Y82" i="19"/>
  <c r="W82" i="19"/>
  <c r="X82" i="19"/>
  <c r="U82" i="19"/>
  <c r="Z82" i="19"/>
  <c r="Z81" i="19"/>
  <c r="X81" i="19"/>
  <c r="W81" i="19"/>
  <c r="X79" i="19"/>
  <c r="U79" i="19"/>
  <c r="Y79" i="19"/>
  <c r="Y78" i="19"/>
  <c r="U78" i="19"/>
  <c r="X78" i="19"/>
  <c r="W78" i="19"/>
  <c r="Z78" i="19"/>
  <c r="U77" i="19"/>
  <c r="Y77" i="19"/>
  <c r="Z77" i="19"/>
  <c r="V77" i="19"/>
  <c r="X77" i="19"/>
  <c r="Y76" i="19"/>
  <c r="W75" i="19"/>
  <c r="V75" i="19"/>
  <c r="U75" i="19"/>
  <c r="Y75" i="19"/>
  <c r="Y69" i="19"/>
  <c r="Z69" i="19"/>
  <c r="Z72" i="19"/>
  <c r="U72" i="19"/>
  <c r="W72" i="19"/>
  <c r="V72" i="19"/>
  <c r="V73" i="19"/>
  <c r="W73" i="19"/>
  <c r="Y73" i="19"/>
  <c r="U73" i="19"/>
  <c r="X73" i="19"/>
  <c r="Z71" i="19"/>
  <c r="Y71" i="19"/>
  <c r="Y70" i="19"/>
  <c r="Z70" i="19"/>
  <c r="W70" i="19"/>
  <c r="W67" i="19"/>
  <c r="V67" i="19"/>
  <c r="X67" i="19"/>
  <c r="X66" i="19"/>
  <c r="Y65" i="19"/>
  <c r="U65" i="19"/>
  <c r="W65" i="19"/>
  <c r="Z65" i="19"/>
  <c r="V64" i="19"/>
  <c r="X64" i="19"/>
  <c r="W64" i="19"/>
  <c r="U64" i="19"/>
  <c r="W63" i="19"/>
  <c r="U63" i="19"/>
  <c r="V60" i="19"/>
  <c r="Y60" i="19"/>
  <c r="X60" i="19"/>
  <c r="U60" i="19"/>
  <c r="Z60" i="19"/>
  <c r="V59" i="19"/>
  <c r="X59" i="19"/>
  <c r="Y59" i="19"/>
  <c r="Z59" i="19"/>
  <c r="U58" i="19"/>
  <c r="X58" i="19"/>
  <c r="Y58" i="19"/>
  <c r="Z58" i="19"/>
  <c r="W58" i="19"/>
  <c r="Y57" i="19"/>
  <c r="X57" i="19"/>
  <c r="Z57" i="19"/>
  <c r="U57" i="19"/>
  <c r="W57" i="19"/>
  <c r="Z47" i="19"/>
  <c r="U47" i="19"/>
  <c r="Y47" i="19"/>
  <c r="W47" i="19"/>
  <c r="V47" i="19"/>
  <c r="V49" i="19"/>
  <c r="U49" i="19"/>
  <c r="X49" i="19"/>
  <c r="Y49" i="19"/>
  <c r="W49" i="19"/>
  <c r="Z48" i="19"/>
  <c r="V48" i="19"/>
  <c r="W48" i="19"/>
  <c r="U48" i="19"/>
  <c r="Y48" i="19"/>
  <c r="W46" i="19"/>
  <c r="V45" i="19"/>
  <c r="Z45" i="19"/>
  <c r="Y45" i="19"/>
  <c r="Z43" i="19"/>
  <c r="V43" i="19"/>
  <c r="Y43" i="19"/>
  <c r="U42" i="19"/>
  <c r="V42" i="19"/>
  <c r="U41" i="19"/>
  <c r="Y41" i="19"/>
  <c r="W41" i="19"/>
  <c r="X41" i="19"/>
  <c r="Z41" i="19"/>
  <c r="V40" i="19"/>
  <c r="X40" i="19"/>
  <c r="W40" i="19"/>
  <c r="Y40" i="19"/>
  <c r="U40" i="19"/>
  <c r="U39" i="19"/>
  <c r="V39" i="19"/>
  <c r="W39" i="19"/>
  <c r="Y39" i="19"/>
  <c r="Z37" i="19"/>
  <c r="U37" i="19"/>
  <c r="X37" i="19"/>
  <c r="Y37" i="19"/>
  <c r="V37" i="19"/>
  <c r="Z36" i="19"/>
  <c r="X36" i="19"/>
  <c r="Y36" i="19"/>
  <c r="U36" i="19"/>
  <c r="V36" i="19"/>
  <c r="Y35" i="19"/>
  <c r="X35" i="19"/>
  <c r="Z35" i="19"/>
  <c r="U35" i="19"/>
  <c r="W35" i="19"/>
  <c r="W34" i="19"/>
  <c r="Z34" i="19"/>
  <c r="U34" i="19"/>
  <c r="Y34" i="19"/>
  <c r="X34" i="19"/>
  <c r="W33" i="19"/>
  <c r="Z33" i="19"/>
  <c r="U33" i="19"/>
  <c r="V33" i="19"/>
  <c r="X33" i="19"/>
  <c r="W6" i="19"/>
  <c r="U6" i="19"/>
  <c r="Y6" i="19"/>
  <c r="X6" i="19"/>
  <c r="Z6" i="19"/>
  <c r="Z5" i="19"/>
  <c r="U5" i="19"/>
  <c r="Y4" i="19"/>
  <c r="W4" i="19"/>
  <c r="X4" i="19"/>
  <c r="V4" i="19"/>
  <c r="U4" i="19"/>
  <c r="Z3" i="19"/>
  <c r="X3" i="19"/>
  <c r="Y3" i="19"/>
  <c r="V3" i="19"/>
  <c r="U3" i="19"/>
  <c r="Z12" i="19"/>
  <c r="W12" i="19"/>
  <c r="V12" i="19"/>
  <c r="W11" i="19"/>
  <c r="Z11" i="19"/>
  <c r="X11" i="19"/>
  <c r="U11" i="19"/>
  <c r="V11" i="19"/>
  <c r="Y9" i="19"/>
  <c r="V9" i="19"/>
  <c r="U9" i="19"/>
  <c r="Z9" i="19"/>
  <c r="X9" i="19"/>
  <c r="U19" i="19"/>
  <c r="Y19" i="19"/>
  <c r="V19" i="19"/>
  <c r="W19" i="19"/>
  <c r="Z19" i="19"/>
  <c r="V18" i="19"/>
  <c r="Z18" i="19"/>
  <c r="Y18" i="19"/>
  <c r="U18" i="19"/>
  <c r="X18" i="19"/>
  <c r="U17" i="19"/>
  <c r="V17" i="19"/>
  <c r="Z17" i="19"/>
  <c r="Y17" i="19"/>
  <c r="W17" i="19"/>
  <c r="W16" i="19"/>
  <c r="Y16" i="19"/>
  <c r="V16" i="19"/>
  <c r="Z16" i="19"/>
  <c r="Z25" i="19"/>
  <c r="X25" i="19"/>
  <c r="U25" i="19"/>
  <c r="W25" i="19"/>
  <c r="V25" i="19"/>
  <c r="X24" i="19"/>
  <c r="Y24" i="19"/>
  <c r="W24" i="19"/>
  <c r="V24" i="19"/>
  <c r="W23" i="19"/>
  <c r="U23" i="19"/>
  <c r="Z23" i="19"/>
  <c r="X22" i="19"/>
  <c r="Y22" i="19"/>
  <c r="U22" i="19"/>
  <c r="Y21" i="19"/>
  <c r="Y55" i="19"/>
  <c r="V55" i="19"/>
  <c r="X55" i="19"/>
  <c r="V54" i="19"/>
  <c r="W54" i="19"/>
  <c r="Y54" i="19"/>
  <c r="U54" i="19"/>
  <c r="Z54" i="19"/>
  <c r="Y53" i="19"/>
  <c r="Z53" i="19"/>
  <c r="V53" i="19"/>
  <c r="Z52" i="19"/>
  <c r="W52" i="19"/>
  <c r="V52" i="19"/>
  <c r="U52" i="19"/>
  <c r="Y52" i="19"/>
  <c r="X51" i="19"/>
  <c r="Y51" i="19"/>
  <c r="U51" i="19"/>
  <c r="V51" i="19"/>
  <c r="W51" i="19"/>
  <c r="U31" i="19"/>
  <c r="Y31" i="19"/>
  <c r="W31" i="19"/>
  <c r="V31" i="19"/>
  <c r="Z31" i="19"/>
  <c r="Y30" i="19"/>
  <c r="X30" i="19"/>
  <c r="Z30" i="19"/>
  <c r="U30" i="19"/>
  <c r="V30" i="19"/>
  <c r="Z29" i="19"/>
  <c r="U29" i="19"/>
  <c r="W29" i="19"/>
  <c r="Y29" i="19"/>
  <c r="X29" i="19"/>
  <c r="Z28" i="19"/>
  <c r="W28" i="19"/>
  <c r="W27" i="19"/>
  <c r="Y27" i="19"/>
  <c r="V27" i="19"/>
  <c r="X27" i="19"/>
  <c r="U27" i="19"/>
</calcChain>
</file>

<file path=xl/sharedStrings.xml><?xml version="1.0" encoding="utf-8"?>
<sst xmlns="http://schemas.openxmlformats.org/spreadsheetml/2006/main" count="1443" uniqueCount="57">
  <si>
    <t>时间</t>
  </si>
  <si>
    <t>温度</t>
  </si>
  <si>
    <t>AAA1</t>
    <phoneticPr fontId="2" type="noConversion"/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</si>
  <si>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</si>
  <si>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</si>
  <si>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</si>
  <si>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</si>
  <si>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</si>
  <si>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</si>
  <si>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</si>
  <si>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</si>
  <si>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</si>
  <si>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</si>
  <si>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</si>
  <si>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</si>
  <si>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  <phoneticPr fontId="2" type="noConversion"/>
  </si>
  <si>
    <t>每个点稳定60分钟后再读数，腔体温度标准铂电阻的温度差在0.8℃以内。使热交换更充分，同时给传感器内部校准修订留够时间</t>
    <phoneticPr fontId="2" type="noConversion"/>
  </si>
  <si>
    <t>序号</t>
    <phoneticPr fontId="2" type="noConversion"/>
  </si>
  <si>
    <t xml:space="preserve"> 序列号</t>
    <phoneticPr fontId="2" type="noConversion"/>
  </si>
  <si>
    <t>测量点温度</t>
    <phoneticPr fontId="2" type="noConversion"/>
  </si>
  <si>
    <t>每个点稳定60分钟后再读数，腔体温度标准铂电阻的温度差在0.8℃以内。使热交换更充分，同时给传感器内部校准修订留够时间</t>
    <phoneticPr fontId="2" type="noConversion"/>
  </si>
  <si>
    <t>序号</t>
    <phoneticPr fontId="2" type="noConversion"/>
  </si>
  <si>
    <t>箱外平均值</t>
    <phoneticPr fontId="2" type="noConversion"/>
  </si>
  <si>
    <t>单头A组</t>
    <phoneticPr fontId="2" type="noConversion"/>
  </si>
  <si>
    <t>单头B组</t>
    <phoneticPr fontId="2" type="noConversion"/>
  </si>
  <si>
    <t>目标</t>
    <phoneticPr fontId="2" type="noConversion"/>
  </si>
  <si>
    <t>腔体</t>
    <phoneticPr fontId="2" type="noConversion"/>
  </si>
  <si>
    <t>修正</t>
    <phoneticPr fontId="2" type="noConversion"/>
  </si>
  <si>
    <t>开启调试模式</t>
    <phoneticPr fontId="2" type="noConversion"/>
  </si>
  <si>
    <t>SMPDEBUG,YALL,Nnn</t>
    <phoneticPr fontId="2" type="noConversion"/>
  </si>
  <si>
    <t>SETPRODUCTCODE,YALL,Nnn,01202404080042</t>
    <phoneticPr fontId="2" type="noConversion"/>
  </si>
  <si>
    <t>单头C组</t>
    <phoneticPr fontId="2" type="noConversion"/>
  </si>
  <si>
    <t>单头D组</t>
    <phoneticPr fontId="2" type="noConversion"/>
  </si>
  <si>
    <t>单头E组</t>
    <phoneticPr fontId="2" type="noConversion"/>
  </si>
  <si>
    <t>70换镜头</t>
    <phoneticPr fontId="2" type="noConversion"/>
  </si>
  <si>
    <t>0换镜头</t>
    <phoneticPr fontId="2" type="noConversion"/>
  </si>
  <si>
    <t>﹣20换镜头</t>
    <phoneticPr fontId="2" type="noConversion"/>
  </si>
  <si>
    <t>C组</t>
    <phoneticPr fontId="2" type="noConversion"/>
  </si>
  <si>
    <t>34-37</t>
    <phoneticPr fontId="2" type="noConversion"/>
  </si>
  <si>
    <t>com5-8</t>
    <phoneticPr fontId="2" type="noConversion"/>
  </si>
  <si>
    <t>38-41</t>
    <phoneticPr fontId="2" type="noConversion"/>
  </si>
  <si>
    <t>D组</t>
    <phoneticPr fontId="2" type="noConversion"/>
  </si>
  <si>
    <t>com9-10;
19-20</t>
    <phoneticPr fontId="2" type="noConversion"/>
  </si>
  <si>
    <t>每个点稳定60分钟后再读数，腔体温度标准铂电阻的温度差在0.8℃以内。使热交换更充分，同时给传感器内部校准修订留够时间</t>
  </si>
  <si>
    <t>日期</t>
    <phoneticPr fontId="2" type="noConversion"/>
  </si>
  <si>
    <t>35-COM6</t>
    <phoneticPr fontId="2" type="noConversion"/>
  </si>
  <si>
    <t>36-COM7</t>
    <phoneticPr fontId="2" type="noConversion"/>
  </si>
  <si>
    <t>37-COM8</t>
    <phoneticPr fontId="2" type="noConversion"/>
  </si>
  <si>
    <t>38-COM9</t>
    <phoneticPr fontId="2" type="noConversion"/>
  </si>
  <si>
    <t>39-COM10</t>
    <phoneticPr fontId="2" type="noConversion"/>
  </si>
  <si>
    <t>40-COM19</t>
    <phoneticPr fontId="2" type="noConversion"/>
  </si>
  <si>
    <t>41-COM20</t>
    <phoneticPr fontId="2" type="noConversion"/>
  </si>
  <si>
    <t>34-COM5</t>
    <phoneticPr fontId="2" type="noConversion"/>
  </si>
  <si>
    <t>43-COM1</t>
    <phoneticPr fontId="2" type="noConversion"/>
  </si>
  <si>
    <t>44-COM32</t>
    <phoneticPr fontId="2" type="noConversion"/>
  </si>
  <si>
    <t>///</t>
  </si>
  <si>
    <t>COM23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</si>
</sst>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¥&quot;* #,##0.00_ ;_ &quot;¥&quot;* \-#,##0.00_ ;_ &quot;¥&quot;* &quot;-&quot;??_ ;_ @_ "/>
    <numFmt numFmtId="176" formatCode="0.000_ "/>
    <numFmt numFmtId="177" formatCode="h:mm;@"/>
    <numFmt numFmtId="178" formatCode="yyyy/m/d;@"/>
  </numFmts>
  <fonts count="2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color theme="5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5" tint="-0.249977111117893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20" fontId="0" fillId="0" borderId="2" xfId="0" applyNumberFormat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20" fontId="8" fillId="3" borderId="2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0" fontId="20" fillId="0" borderId="0" xfId="0" applyFont="1">
      <alignment vertical="center"/>
    </xf>
    <xf numFmtId="20" fontId="9" fillId="3" borderId="2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21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10" fillId="3" borderId="2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20" fontId="21" fillId="0" borderId="2" xfId="0" applyNumberFormat="1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20" fontId="22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44" fontId="1" fillId="6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176" fontId="7" fillId="5" borderId="1" xfId="0" applyNumberFormat="1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44" fontId="3" fillId="0" borderId="1" xfId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3" fillId="7" borderId="0" xfId="0" applyFont="1" applyFill="1" applyAlignment="1">
      <alignment horizontal="center" vertical="center"/>
    </xf>
    <xf numFmtId="176" fontId="20" fillId="7" borderId="0" xfId="0" applyNumberFormat="1" applyFont="1" applyFill="1" applyAlignment="1">
      <alignment horizontal="center" vertical="center"/>
    </xf>
    <xf numFmtId="0" fontId="20" fillId="7" borderId="0" xfId="0" applyFont="1" applyFill="1">
      <alignment vertical="center"/>
    </xf>
    <xf numFmtId="177" fontId="7" fillId="5" borderId="1" xfId="0" applyNumberFormat="1" applyFont="1" applyFill="1" applyBorder="1" applyAlignment="1">
      <alignment horizontal="center" vertical="center"/>
    </xf>
    <xf numFmtId="177" fontId="7" fillId="5" borderId="1" xfId="0" applyNumberFormat="1" applyFont="1" applyFill="1" applyBorder="1">
      <alignment vertical="center"/>
    </xf>
    <xf numFmtId="177" fontId="0" fillId="5" borderId="1" xfId="0" applyNumberForma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6" fontId="25" fillId="0" borderId="1" xfId="0" applyNumberFormat="1" applyFont="1" applyBorder="1">
      <alignment vertical="center"/>
    </xf>
    <xf numFmtId="176" fontId="19" fillId="0" borderId="1" xfId="0" applyNumberFormat="1" applyFont="1" applyBorder="1">
      <alignment vertical="center"/>
    </xf>
    <xf numFmtId="176" fontId="19" fillId="7" borderId="1" xfId="0" applyNumberFormat="1" applyFont="1" applyFill="1" applyBorder="1">
      <alignment vertical="center"/>
    </xf>
    <xf numFmtId="176" fontId="3" fillId="5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 wrapText="1"/>
    </xf>
    <xf numFmtId="178" fontId="4" fillId="0" borderId="7" xfId="0" applyNumberFormat="1" applyFont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178" fontId="1" fillId="7" borderId="1" xfId="0" applyNumberFormat="1" applyFont="1" applyFill="1" applyBorder="1" applyAlignment="1">
      <alignment horizontal="center" vertical="center" wrapText="1"/>
    </xf>
    <xf numFmtId="176" fontId="0" fillId="7" borderId="1" xfId="0" applyNumberFormat="1" applyFill="1" applyBorder="1">
      <alignment vertical="center"/>
    </xf>
    <xf numFmtId="176" fontId="13" fillId="5" borderId="1" xfId="0" applyNumberFormat="1" applyFon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176" fontId="1" fillId="7" borderId="1" xfId="0" applyNumberFormat="1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4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7DA8-A1F8-42D7-B3EA-7A2B5F98E779}">
  <dimension ref="A1:Z97"/>
  <sheetViews>
    <sheetView topLeftCell="A64" zoomScale="130" zoomScaleNormal="130" workbookViewId="0">
      <selection activeCell="D86" sqref="D86"/>
    </sheetView>
  </sheetViews>
  <sheetFormatPr defaultColWidth="8.75" defaultRowHeight="14.25" x14ac:dyDescent="0.15"/>
  <cols>
    <col min="1" max="1" width="11.25" style="6" customWidth="1"/>
    <col min="2" max="2" width="15.5" style="6" customWidth="1"/>
    <col min="3" max="3" width="11" style="6" customWidth="1"/>
    <col min="4" max="4" width="12.625" style="6" customWidth="1"/>
    <col min="5" max="8" width="9.5" style="6" bestFit="1" customWidth="1"/>
    <col min="9" max="10" width="8.875" style="6" bestFit="1" customWidth="1"/>
    <col min="11" max="11" width="9.625" style="6" customWidth="1"/>
    <col min="12" max="12" width="6.75" style="6" customWidth="1"/>
    <col min="13" max="18" width="9.5" style="6" bestFit="1" customWidth="1"/>
    <col min="20" max="20" width="12.625" customWidth="1"/>
    <col min="21" max="21" width="11.375" customWidth="1"/>
    <col min="22" max="26" width="8.875" bestFit="1" customWidth="1"/>
  </cols>
  <sheetData>
    <row r="1" spans="1:26" x14ac:dyDescent="0.15">
      <c r="A1" s="1"/>
      <c r="C1" s="3"/>
      <c r="D1" s="3" t="s">
        <v>18</v>
      </c>
      <c r="E1" s="107" t="s">
        <v>56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26" x14ac:dyDescent="0.15">
      <c r="A2" s="1"/>
      <c r="B2" s="106" t="s">
        <v>44</v>
      </c>
      <c r="C2" s="7" t="s">
        <v>0</v>
      </c>
      <c r="D2" s="5" t="s">
        <v>19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T2" s="19" t="s">
        <v>22</v>
      </c>
      <c r="U2" s="8" t="s">
        <v>10</v>
      </c>
      <c r="V2" s="8" t="s">
        <v>11</v>
      </c>
      <c r="W2" s="8" t="s">
        <v>12</v>
      </c>
      <c r="X2" s="8" t="s">
        <v>13</v>
      </c>
      <c r="Y2" s="8" t="s">
        <v>14</v>
      </c>
      <c r="Z2" s="8" t="s">
        <v>15</v>
      </c>
    </row>
    <row r="3" spans="1:26" ht="14.25" customHeight="1" x14ac:dyDescent="0.15">
      <c r="A3" s="55" t="s">
        <v>23</v>
      </c>
      <c r="B3" s="93">
        <v>45546</v>
      </c>
      <c r="C3" s="31">
        <v>0.60763888888888895</v>
      </c>
      <c r="D3" s="10">
        <v>70</v>
      </c>
      <c r="E3" s="17" t="s">
        <v>55</v>
      </c>
      <c r="F3" s="16" t="s">
        <v>55</v>
      </c>
      <c r="G3" s="16" t="s">
        <v>55</v>
      </c>
      <c r="H3" s="16" t="s">
        <v>55</v>
      </c>
      <c r="I3" s="16" t="s">
        <v>55</v>
      </c>
      <c r="J3" s="16" t="s">
        <v>55</v>
      </c>
      <c r="K3" s="16" t="s">
        <v>55</v>
      </c>
      <c r="L3" s="16" t="s">
        <v>55</v>
      </c>
      <c r="M3" s="16" t="s">
        <v>55</v>
      </c>
      <c r="N3" s="16" t="s">
        <v>55</v>
      </c>
      <c r="O3" s="16" t="s">
        <v>55</v>
      </c>
      <c r="P3" s="16" t="s">
        <v>55</v>
      </c>
      <c r="Q3" s="16" t="s">
        <v>55</v>
      </c>
      <c r="R3" s="16" t="s">
        <v>55</v>
      </c>
      <c r="S3" t="s">
        <v>55</v>
      </c>
      <c r="T3" s="20" t="s">
        <v>55</v>
      </c>
      <c r="U3" s="20" t="e">
        <f t="shared" ref="U3:Z3" si="0">M3-$T3</f>
        <v>#VALUE!</v>
      </c>
      <c r="V3" s="20" t="e">
        <f t="shared" si="0"/>
        <v>#VALUE!</v>
      </c>
      <c r="W3" s="20" t="e">
        <f t="shared" si="0"/>
        <v>#VALUE!</v>
      </c>
      <c r="X3" s="20" t="e">
        <f t="shared" si="0"/>
        <v>#VALUE!</v>
      </c>
      <c r="Y3" s="20" t="e">
        <f t="shared" si="0"/>
        <v>#VALUE!</v>
      </c>
      <c r="Z3" s="20" t="e">
        <f t="shared" si="0"/>
        <v>#VALUE!</v>
      </c>
    </row>
    <row r="4" spans="1:26" ht="14.25" customHeight="1" x14ac:dyDescent="0.15">
      <c r="A4" s="56" t="s">
        <v>24</v>
      </c>
      <c r="B4" s="93">
        <v>45546</v>
      </c>
      <c r="C4" s="11">
        <v>0.61111111111111105</v>
      </c>
      <c r="D4" s="12">
        <v>70</v>
      </c>
      <c r="E4" s="15" t="s">
        <v>55</v>
      </c>
      <c r="F4" s="15" t="s">
        <v>55</v>
      </c>
      <c r="G4" s="15" t="s">
        <v>55</v>
      </c>
      <c r="H4" s="15" t="s">
        <v>55</v>
      </c>
      <c r="I4" s="15" t="s">
        <v>55</v>
      </c>
      <c r="J4" s="15" t="s">
        <v>55</v>
      </c>
      <c r="K4" s="15" t="s">
        <v>55</v>
      </c>
      <c r="L4" s="15" t="s">
        <v>55</v>
      </c>
      <c r="M4" s="15" t="s">
        <v>55</v>
      </c>
      <c r="N4" s="15" t="s">
        <v>55</v>
      </c>
      <c r="O4" s="15" t="s">
        <v>55</v>
      </c>
      <c r="P4" s="15" t="s">
        <v>55</v>
      </c>
      <c r="Q4" s="15" t="s">
        <v>55</v>
      </c>
      <c r="R4" s="15" t="s">
        <v>55</v>
      </c>
      <c r="S4" t="s">
        <v>55</v>
      </c>
      <c r="T4" s="20" t="s">
        <v>55</v>
      </c>
      <c r="U4" s="20" t="e">
        <f t="shared" ref="U4:U96" si="1">M4-$T4</f>
        <v>#VALUE!</v>
      </c>
      <c r="V4" s="20" t="e">
        <f t="shared" ref="V4:V96" si="2">N4-$T4</f>
        <v>#VALUE!</v>
      </c>
      <c r="W4" s="20" t="e">
        <f t="shared" ref="W4:W96" si="3">O4-$T4</f>
        <v>#VALUE!</v>
      </c>
      <c r="X4" s="20" t="e">
        <f t="shared" ref="X4:X96" si="4">P4-$T4</f>
        <v>#VALUE!</v>
      </c>
      <c r="Y4" s="20" t="e">
        <f t="shared" ref="Y4:Y96" si="5">Q4-$T4</f>
        <v>#VALUE!</v>
      </c>
      <c r="Z4" s="20" t="e">
        <f t="shared" ref="Z4:Z96" si="6">R4-$T4</f>
        <v>#VALUE!</v>
      </c>
    </row>
    <row r="5" spans="1:26" ht="14.25" customHeight="1" x14ac:dyDescent="0.15">
      <c r="A5" s="74" t="s">
        <v>31</v>
      </c>
      <c r="B5" s="93">
        <v>45546</v>
      </c>
      <c r="C5" s="11">
        <v>0.61319444444444449</v>
      </c>
      <c r="D5" s="12">
        <v>70</v>
      </c>
      <c r="E5" s="15" t="s">
        <v>55</v>
      </c>
      <c r="F5" s="15" t="s">
        <v>55</v>
      </c>
      <c r="G5" s="15" t="s">
        <v>55</v>
      </c>
      <c r="H5" s="15" t="s">
        <v>55</v>
      </c>
      <c r="I5" s="15" t="s">
        <v>55</v>
      </c>
      <c r="J5" s="15" t="s">
        <v>55</v>
      </c>
      <c r="K5" s="15" t="s">
        <v>55</v>
      </c>
      <c r="L5" s="15" t="s">
        <v>55</v>
      </c>
      <c r="M5" s="15" t="s">
        <v>55</v>
      </c>
      <c r="N5" s="15" t="s">
        <v>55</v>
      </c>
      <c r="O5" s="15" t="s">
        <v>55</v>
      </c>
      <c r="P5" s="15" t="s">
        <v>55</v>
      </c>
      <c r="Q5" s="15" t="s">
        <v>55</v>
      </c>
      <c r="R5" s="15" t="s">
        <v>55</v>
      </c>
      <c r="S5" t="s">
        <v>55</v>
      </c>
      <c r="T5" s="20" t="s">
        <v>55</v>
      </c>
      <c r="U5" s="20" t="e">
        <f t="shared" si="1"/>
        <v>#VALUE!</v>
      </c>
      <c r="V5" s="20" t="e">
        <f t="shared" si="2"/>
        <v>#VALUE!</v>
      </c>
      <c r="W5" s="20" t="e">
        <f t="shared" si="3"/>
        <v>#VALUE!</v>
      </c>
      <c r="X5" s="20" t="e">
        <f t="shared" si="4"/>
        <v>#VALUE!</v>
      </c>
      <c r="Y5" s="20" t="e">
        <f t="shared" si="5"/>
        <v>#VALUE!</v>
      </c>
      <c r="Z5" s="20" t="e">
        <f t="shared" si="6"/>
        <v>#VALUE!</v>
      </c>
    </row>
    <row r="6" spans="1:26" ht="14.25" customHeight="1" x14ac:dyDescent="0.15">
      <c r="A6" s="74" t="s">
        <v>32</v>
      </c>
      <c r="B6" s="93">
        <v>45546</v>
      </c>
      <c r="C6" s="11">
        <v>0.61527777777777781</v>
      </c>
      <c r="D6" s="12">
        <v>70</v>
      </c>
      <c r="E6" s="15" t="s">
        <v>55</v>
      </c>
      <c r="F6" s="15" t="s">
        <v>55</v>
      </c>
      <c r="G6" s="15" t="s">
        <v>55</v>
      </c>
      <c r="H6" s="15" t="s">
        <v>55</v>
      </c>
      <c r="I6" s="15" t="s">
        <v>55</v>
      </c>
      <c r="J6" s="15" t="s">
        <v>55</v>
      </c>
      <c r="K6" s="15" t="s">
        <v>55</v>
      </c>
      <c r="L6" s="15" t="s">
        <v>55</v>
      </c>
      <c r="M6" s="15" t="s">
        <v>55</v>
      </c>
      <c r="N6" s="15" t="s">
        <v>55</v>
      </c>
      <c r="O6" s="15" t="s">
        <v>55</v>
      </c>
      <c r="P6" s="15" t="s">
        <v>55</v>
      </c>
      <c r="Q6" s="15" t="s">
        <v>55</v>
      </c>
      <c r="R6" s="15" t="s">
        <v>55</v>
      </c>
      <c r="S6" t="s">
        <v>55</v>
      </c>
      <c r="T6" s="20" t="s">
        <v>55</v>
      </c>
      <c r="U6" s="20" t="e">
        <f t="shared" ref="U6:Z7" si="7">M6-$T6</f>
        <v>#VALUE!</v>
      </c>
      <c r="V6" s="20" t="e">
        <f t="shared" si="7"/>
        <v>#VALUE!</v>
      </c>
      <c r="W6" s="20" t="e">
        <f t="shared" si="7"/>
        <v>#VALUE!</v>
      </c>
      <c r="X6" s="20" t="e">
        <f t="shared" si="7"/>
        <v>#VALUE!</v>
      </c>
      <c r="Y6" s="20" t="e">
        <f t="shared" si="7"/>
        <v>#VALUE!</v>
      </c>
      <c r="Z6" s="20" t="e">
        <f t="shared" si="7"/>
        <v>#VALUE!</v>
      </c>
    </row>
    <row r="7" spans="1:26" ht="14.25" customHeight="1" x14ac:dyDescent="0.15">
      <c r="A7" s="74" t="s">
        <v>33</v>
      </c>
      <c r="B7" s="93">
        <v>45546</v>
      </c>
      <c r="C7" s="11">
        <v>0.61736111111111114</v>
      </c>
      <c r="D7" s="12">
        <v>70</v>
      </c>
      <c r="E7" s="15" t="s">
        <v>55</v>
      </c>
      <c r="F7" s="15" t="s">
        <v>55</v>
      </c>
      <c r="G7" s="15" t="s">
        <v>55</v>
      </c>
      <c r="H7" s="15" t="s">
        <v>55</v>
      </c>
      <c r="I7" s="15" t="s">
        <v>55</v>
      </c>
      <c r="J7" s="15" t="s">
        <v>55</v>
      </c>
      <c r="K7" s="15" t="s">
        <v>55</v>
      </c>
      <c r="L7" s="15" t="s">
        <v>55</v>
      </c>
      <c r="M7" s="15" t="s">
        <v>55</v>
      </c>
      <c r="N7" s="15" t="s">
        <v>55</v>
      </c>
      <c r="O7" s="15" t="s">
        <v>55</v>
      </c>
      <c r="P7" s="15" t="s">
        <v>55</v>
      </c>
      <c r="Q7" s="15" t="s">
        <v>55</v>
      </c>
      <c r="R7" s="15" t="s">
        <v>55</v>
      </c>
      <c r="S7" t="s">
        <v>55</v>
      </c>
      <c r="T7" s="20" t="s">
        <v>55</v>
      </c>
      <c r="U7" s="20" t="e">
        <f t="shared" si="7"/>
        <v>#VALUE!</v>
      </c>
      <c r="V7" s="20" t="e">
        <f t="shared" si="7"/>
        <v>#VALUE!</v>
      </c>
      <c r="W7" s="20" t="e">
        <f t="shared" si="7"/>
        <v>#VALUE!</v>
      </c>
      <c r="X7" s="20" t="e">
        <f t="shared" si="7"/>
        <v>#VALUE!</v>
      </c>
      <c r="Y7" s="20" t="e">
        <f t="shared" si="7"/>
        <v>#VALUE!</v>
      </c>
      <c r="Z7" s="20" t="e">
        <f t="shared" si="7"/>
        <v>#VALUE!</v>
      </c>
    </row>
    <row r="8" spans="1:26" s="35" customFormat="1" ht="14.25" customHeight="1" x14ac:dyDescent="0.15">
      <c r="A8" s="37"/>
      <c r="B8" s="103"/>
      <c r="C8" s="46"/>
      <c r="D8" s="3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T8" s="36"/>
      <c r="U8" s="36"/>
      <c r="V8" s="36"/>
      <c r="W8" s="36"/>
      <c r="X8" s="36"/>
      <c r="Y8" s="36"/>
      <c r="Z8" s="36"/>
    </row>
    <row r="9" spans="1:26" ht="14.25" customHeight="1" x14ac:dyDescent="0.15">
      <c r="A9" s="55" t="s">
        <v>23</v>
      </c>
      <c r="B9" s="93">
        <v>45546</v>
      </c>
      <c r="C9" s="34">
        <v>0.54861111111111105</v>
      </c>
      <c r="D9" s="10">
        <v>60</v>
      </c>
      <c r="E9" s="17" t="s">
        <v>55</v>
      </c>
      <c r="F9" s="16" t="s">
        <v>55</v>
      </c>
      <c r="G9" s="16" t="s">
        <v>55</v>
      </c>
      <c r="H9" s="16" t="s">
        <v>55</v>
      </c>
      <c r="I9" s="16" t="s">
        <v>55</v>
      </c>
      <c r="J9" s="16" t="s">
        <v>55</v>
      </c>
      <c r="K9" s="16" t="s">
        <v>55</v>
      </c>
      <c r="L9" s="16" t="s">
        <v>55</v>
      </c>
      <c r="M9" s="16" t="s">
        <v>55</v>
      </c>
      <c r="N9" s="16" t="s">
        <v>55</v>
      </c>
      <c r="O9" s="16" t="s">
        <v>55</v>
      </c>
      <c r="P9" s="16" t="s">
        <v>55</v>
      </c>
      <c r="Q9" s="16" t="s">
        <v>55</v>
      </c>
      <c r="R9" s="16" t="s">
        <v>55</v>
      </c>
      <c r="S9" t="s">
        <v>55</v>
      </c>
      <c r="T9" s="20" t="s">
        <v>55</v>
      </c>
      <c r="U9" s="20" t="e">
        <f t="shared" si="1"/>
        <v>#VALUE!</v>
      </c>
      <c r="V9" s="20" t="e">
        <f t="shared" si="2"/>
        <v>#VALUE!</v>
      </c>
      <c r="W9" s="20" t="e">
        <f t="shared" si="3"/>
        <v>#VALUE!</v>
      </c>
      <c r="X9" s="20" t="e">
        <f t="shared" si="4"/>
        <v>#VALUE!</v>
      </c>
      <c r="Y9" s="20" t="e">
        <f t="shared" si="5"/>
        <v>#VALUE!</v>
      </c>
      <c r="Z9" s="20" t="e">
        <f t="shared" si="6"/>
        <v>#VALUE!</v>
      </c>
    </row>
    <row r="10" spans="1:26" ht="14.25" customHeight="1" x14ac:dyDescent="0.15">
      <c r="A10" s="56" t="s">
        <v>24</v>
      </c>
      <c r="B10" s="93">
        <v>45546</v>
      </c>
      <c r="C10" s="11">
        <v>0.55138888888888882</v>
      </c>
      <c r="D10" s="12">
        <v>60</v>
      </c>
      <c r="E10" s="15" t="s">
        <v>55</v>
      </c>
      <c r="F10" s="15" t="s">
        <v>55</v>
      </c>
      <c r="G10" s="15" t="s">
        <v>55</v>
      </c>
      <c r="H10" s="15" t="s">
        <v>55</v>
      </c>
      <c r="I10" s="15" t="s">
        <v>55</v>
      </c>
      <c r="J10" s="15" t="s">
        <v>55</v>
      </c>
      <c r="K10" s="15" t="s">
        <v>55</v>
      </c>
      <c r="L10" s="15" t="s">
        <v>55</v>
      </c>
      <c r="M10" s="15" t="s">
        <v>55</v>
      </c>
      <c r="N10" s="15" t="s">
        <v>55</v>
      </c>
      <c r="O10" s="15" t="s">
        <v>55</v>
      </c>
      <c r="P10" s="15" t="s">
        <v>55</v>
      </c>
      <c r="Q10" s="15" t="s">
        <v>55</v>
      </c>
      <c r="R10" s="15" t="s">
        <v>55</v>
      </c>
      <c r="S10" t="s">
        <v>55</v>
      </c>
      <c r="T10" s="20" t="s">
        <v>55</v>
      </c>
      <c r="U10" s="20" t="e">
        <f t="shared" si="1"/>
        <v>#VALUE!</v>
      </c>
      <c r="V10" s="20" t="e">
        <f t="shared" si="2"/>
        <v>#VALUE!</v>
      </c>
      <c r="W10" s="20" t="e">
        <f t="shared" si="3"/>
        <v>#VALUE!</v>
      </c>
      <c r="X10" s="20" t="e">
        <f t="shared" si="4"/>
        <v>#VALUE!</v>
      </c>
      <c r="Y10" s="20" t="e">
        <f t="shared" si="5"/>
        <v>#VALUE!</v>
      </c>
      <c r="Z10" s="20" t="e">
        <f t="shared" si="6"/>
        <v>#VALUE!</v>
      </c>
    </row>
    <row r="11" spans="1:26" ht="14.25" customHeight="1" x14ac:dyDescent="0.15">
      <c r="A11" s="74" t="s">
        <v>31</v>
      </c>
      <c r="B11" s="93">
        <v>45546</v>
      </c>
      <c r="C11" s="11">
        <v>0.55347222222222225</v>
      </c>
      <c r="D11" s="12">
        <v>60</v>
      </c>
      <c r="E11" s="15" t="s">
        <v>55</v>
      </c>
      <c r="F11" s="15" t="s">
        <v>55</v>
      </c>
      <c r="G11" s="15" t="s">
        <v>55</v>
      </c>
      <c r="H11" s="15" t="s">
        <v>55</v>
      </c>
      <c r="I11" s="15" t="s">
        <v>55</v>
      </c>
      <c r="J11" s="15" t="s">
        <v>55</v>
      </c>
      <c r="K11" s="15" t="s">
        <v>55</v>
      </c>
      <c r="L11" s="15" t="s">
        <v>55</v>
      </c>
      <c r="M11" s="15" t="s">
        <v>55</v>
      </c>
      <c r="N11" s="15" t="s">
        <v>55</v>
      </c>
      <c r="O11" s="15" t="s">
        <v>55</v>
      </c>
      <c r="P11" s="15" t="s">
        <v>55</v>
      </c>
      <c r="Q11" s="15" t="s">
        <v>55</v>
      </c>
      <c r="R11" s="15" t="s">
        <v>55</v>
      </c>
      <c r="S11" t="s">
        <v>55</v>
      </c>
      <c r="T11" s="20" t="s">
        <v>55</v>
      </c>
      <c r="U11" s="20" t="e">
        <f t="shared" ref="U11:Z11" si="8">M11-$T11</f>
        <v>#VALUE!</v>
      </c>
      <c r="V11" s="20" t="e">
        <f t="shared" si="8"/>
        <v>#VALUE!</v>
      </c>
      <c r="W11" s="20" t="e">
        <f t="shared" si="8"/>
        <v>#VALUE!</v>
      </c>
      <c r="X11" s="20" t="e">
        <f t="shared" si="8"/>
        <v>#VALUE!</v>
      </c>
      <c r="Y11" s="20" t="e">
        <f t="shared" si="8"/>
        <v>#VALUE!</v>
      </c>
      <c r="Z11" s="20" t="e">
        <f t="shared" si="8"/>
        <v>#VALUE!</v>
      </c>
    </row>
    <row r="12" spans="1:26" ht="14.25" customHeight="1" x14ac:dyDescent="0.15">
      <c r="A12" s="74" t="s">
        <v>32</v>
      </c>
      <c r="B12" s="93">
        <v>45546</v>
      </c>
      <c r="C12" s="11">
        <v>0.55555555555555558</v>
      </c>
      <c r="D12" s="12">
        <v>60</v>
      </c>
      <c r="E12" s="15" t="s">
        <v>55</v>
      </c>
      <c r="F12" s="15" t="s">
        <v>55</v>
      </c>
      <c r="G12" s="15" t="s">
        <v>55</v>
      </c>
      <c r="H12" s="15" t="s">
        <v>55</v>
      </c>
      <c r="I12" s="15" t="s">
        <v>55</v>
      </c>
      <c r="J12" s="15" t="s">
        <v>55</v>
      </c>
      <c r="K12" s="15" t="s">
        <v>55</v>
      </c>
      <c r="L12" s="15" t="s">
        <v>55</v>
      </c>
      <c r="M12" s="15" t="s">
        <v>55</v>
      </c>
      <c r="N12" s="15" t="s">
        <v>55</v>
      </c>
      <c r="O12" s="15" t="s">
        <v>55</v>
      </c>
      <c r="P12" s="15" t="s">
        <v>55</v>
      </c>
      <c r="Q12" s="15" t="s">
        <v>55</v>
      </c>
      <c r="R12" s="15" t="s">
        <v>55</v>
      </c>
      <c r="S12" t="s">
        <v>55</v>
      </c>
      <c r="T12" s="20" t="s">
        <v>55</v>
      </c>
      <c r="U12" s="20" t="e">
        <f t="shared" si="1"/>
        <v>#VALUE!</v>
      </c>
      <c r="V12" s="20" t="e">
        <f t="shared" si="2"/>
        <v>#VALUE!</v>
      </c>
      <c r="W12" s="20" t="e">
        <f t="shared" si="3"/>
        <v>#VALUE!</v>
      </c>
      <c r="X12" s="20" t="e">
        <f t="shared" si="4"/>
        <v>#VALUE!</v>
      </c>
      <c r="Y12" s="20" t="e">
        <f t="shared" si="5"/>
        <v>#VALUE!</v>
      </c>
      <c r="Z12" s="20" t="e">
        <f t="shared" si="6"/>
        <v>#VALUE!</v>
      </c>
    </row>
    <row r="13" spans="1:26" ht="14.25" customHeight="1" x14ac:dyDescent="0.15">
      <c r="A13" s="74" t="s">
        <v>33</v>
      </c>
      <c r="B13" s="93">
        <v>45546</v>
      </c>
      <c r="C13" s="11">
        <v>0.55763888888888891</v>
      </c>
      <c r="D13" s="12">
        <v>60</v>
      </c>
      <c r="E13" s="15" t="s">
        <v>55</v>
      </c>
      <c r="F13" s="15" t="s">
        <v>55</v>
      </c>
      <c r="G13" s="15" t="s">
        <v>55</v>
      </c>
      <c r="H13" s="15" t="s">
        <v>55</v>
      </c>
      <c r="I13" s="15" t="s">
        <v>55</v>
      </c>
      <c r="J13" s="15" t="s">
        <v>55</v>
      </c>
      <c r="K13" s="15" t="s">
        <v>55</v>
      </c>
      <c r="L13" s="15" t="s">
        <v>55</v>
      </c>
      <c r="M13" s="15" t="s">
        <v>55</v>
      </c>
      <c r="N13" s="15" t="s">
        <v>55</v>
      </c>
      <c r="O13" s="15" t="s">
        <v>55</v>
      </c>
      <c r="P13" s="15" t="s">
        <v>55</v>
      </c>
      <c r="Q13" s="15" t="s">
        <v>55</v>
      </c>
      <c r="R13" s="15" t="s">
        <v>55</v>
      </c>
      <c r="S13" t="s">
        <v>55</v>
      </c>
      <c r="T13" s="20" t="s">
        <v>55</v>
      </c>
      <c r="U13" s="20" t="e">
        <f t="shared" si="1"/>
        <v>#VALUE!</v>
      </c>
      <c r="V13" s="20" t="e">
        <f t="shared" si="2"/>
        <v>#VALUE!</v>
      </c>
      <c r="W13" s="20" t="e">
        <f t="shared" si="3"/>
        <v>#VALUE!</v>
      </c>
      <c r="X13" s="20" t="e">
        <f t="shared" si="4"/>
        <v>#VALUE!</v>
      </c>
      <c r="Y13" s="20" t="e">
        <f t="shared" si="5"/>
        <v>#VALUE!</v>
      </c>
      <c r="Z13" s="20" t="e">
        <f t="shared" si="6"/>
        <v>#VALUE!</v>
      </c>
    </row>
    <row r="14" spans="1:26" ht="14.25" customHeight="1" x14ac:dyDescent="0.15">
      <c r="A14" s="56"/>
      <c r="B14" s="102"/>
      <c r="C14" s="11"/>
      <c r="D14" s="12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T14" s="20"/>
      <c r="U14" s="20"/>
      <c r="V14" s="20"/>
      <c r="W14" s="20"/>
      <c r="X14" s="20"/>
      <c r="Y14" s="20"/>
      <c r="Z14" s="20"/>
    </row>
    <row r="15" spans="1:26" ht="14.25" customHeight="1" x14ac:dyDescent="0.15">
      <c r="A15" s="55" t="s">
        <v>23</v>
      </c>
      <c r="B15" s="93">
        <v>45546</v>
      </c>
      <c r="C15" s="31"/>
      <c r="D15" s="10"/>
      <c r="E15" s="17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T15" s="20"/>
      <c r="U15" s="20"/>
      <c r="V15" s="20"/>
      <c r="W15" s="20"/>
      <c r="X15" s="20"/>
      <c r="Y15" s="20"/>
      <c r="Z15" s="20"/>
    </row>
    <row r="16" spans="1:26" ht="14.25" customHeight="1" x14ac:dyDescent="0.15">
      <c r="A16" s="56" t="s">
        <v>24</v>
      </c>
      <c r="B16" s="93">
        <v>45546</v>
      </c>
      <c r="C16" s="11">
        <v>0.4770833333333333</v>
      </c>
      <c r="D16" s="12">
        <v>50</v>
      </c>
      <c r="E16" s="15" t="s">
        <v>55</v>
      </c>
      <c r="F16" s="15" t="s">
        <v>55</v>
      </c>
      <c r="G16" s="15" t="s">
        <v>55</v>
      </c>
      <c r="H16" s="15" t="s">
        <v>55</v>
      </c>
      <c r="I16" s="15" t="s">
        <v>55</v>
      </c>
      <c r="J16" s="15" t="s">
        <v>55</v>
      </c>
      <c r="K16" s="15" t="s">
        <v>55</v>
      </c>
      <c r="L16" s="15" t="s">
        <v>55</v>
      </c>
      <c r="M16" s="15" t="s">
        <v>55</v>
      </c>
      <c r="N16" s="15" t="s">
        <v>55</v>
      </c>
      <c r="O16" s="15" t="s">
        <v>55</v>
      </c>
      <c r="P16" s="15" t="s">
        <v>55</v>
      </c>
      <c r="Q16" s="15" t="s">
        <v>55</v>
      </c>
      <c r="R16" s="15" t="s">
        <v>55</v>
      </c>
      <c r="S16" t="s">
        <v>55</v>
      </c>
      <c r="T16" s="20" t="s">
        <v>55</v>
      </c>
      <c r="U16" s="20" t="e">
        <f t="shared" si="1"/>
        <v>#VALUE!</v>
      </c>
      <c r="V16" s="20" t="e">
        <f t="shared" si="2"/>
        <v>#VALUE!</v>
      </c>
      <c r="W16" s="20" t="e">
        <f t="shared" si="3"/>
        <v>#VALUE!</v>
      </c>
      <c r="X16" s="20" t="e">
        <f t="shared" si="4"/>
        <v>#VALUE!</v>
      </c>
      <c r="Y16" s="20" t="e">
        <f t="shared" si="5"/>
        <v>#VALUE!</v>
      </c>
      <c r="Z16" s="20" t="e">
        <f t="shared" si="6"/>
        <v>#VALUE!</v>
      </c>
    </row>
    <row r="17" spans="1:26" ht="14.25" customHeight="1" x14ac:dyDescent="0.15">
      <c r="A17" s="74" t="s">
        <v>31</v>
      </c>
      <c r="B17" s="93">
        <v>45546</v>
      </c>
      <c r="C17" s="11">
        <v>0.47916666666666669</v>
      </c>
      <c r="D17" s="12">
        <v>50</v>
      </c>
      <c r="E17" s="15" t="s">
        <v>55</v>
      </c>
      <c r="F17" s="15" t="s">
        <v>55</v>
      </c>
      <c r="G17" s="15" t="s">
        <v>55</v>
      </c>
      <c r="H17" s="15" t="s">
        <v>55</v>
      </c>
      <c r="I17" s="15" t="s">
        <v>55</v>
      </c>
      <c r="J17" s="15" t="s">
        <v>55</v>
      </c>
      <c r="K17" s="15" t="s">
        <v>55</v>
      </c>
      <c r="L17" s="15" t="s">
        <v>55</v>
      </c>
      <c r="M17" s="15" t="s">
        <v>55</v>
      </c>
      <c r="N17" s="15" t="s">
        <v>55</v>
      </c>
      <c r="O17" s="15" t="s">
        <v>55</v>
      </c>
      <c r="P17" s="15" t="s">
        <v>55</v>
      </c>
      <c r="Q17" s="15" t="s">
        <v>55</v>
      </c>
      <c r="R17" s="15" t="s">
        <v>55</v>
      </c>
      <c r="S17" t="s">
        <v>55</v>
      </c>
      <c r="T17" s="20" t="s">
        <v>55</v>
      </c>
      <c r="U17" s="20" t="e">
        <f t="shared" ref="U17:Z17" si="9">M17-$T17</f>
        <v>#VALUE!</v>
      </c>
      <c r="V17" s="20" t="e">
        <f t="shared" si="9"/>
        <v>#VALUE!</v>
      </c>
      <c r="W17" s="20" t="e">
        <f t="shared" si="9"/>
        <v>#VALUE!</v>
      </c>
      <c r="X17" s="20" t="e">
        <f t="shared" si="9"/>
        <v>#VALUE!</v>
      </c>
      <c r="Y17" s="20" t="e">
        <f t="shared" si="9"/>
        <v>#VALUE!</v>
      </c>
      <c r="Z17" s="20" t="e">
        <f t="shared" si="9"/>
        <v>#VALUE!</v>
      </c>
    </row>
    <row r="18" spans="1:26" ht="14.25" customHeight="1" x14ac:dyDescent="0.15">
      <c r="A18" s="74" t="s">
        <v>32</v>
      </c>
      <c r="B18" s="93">
        <v>45546</v>
      </c>
      <c r="C18" s="11">
        <v>0.48125000000000001</v>
      </c>
      <c r="D18" s="12">
        <v>50</v>
      </c>
      <c r="E18" s="15" t="s">
        <v>55</v>
      </c>
      <c r="F18" s="15" t="s">
        <v>55</v>
      </c>
      <c r="G18" s="15" t="s">
        <v>55</v>
      </c>
      <c r="H18" s="15" t="s">
        <v>55</v>
      </c>
      <c r="I18" s="15" t="s">
        <v>55</v>
      </c>
      <c r="J18" s="15" t="s">
        <v>55</v>
      </c>
      <c r="K18" s="15" t="s">
        <v>55</v>
      </c>
      <c r="L18" s="15" t="s">
        <v>55</v>
      </c>
      <c r="M18" s="15" t="s">
        <v>55</v>
      </c>
      <c r="N18" s="15" t="s">
        <v>55</v>
      </c>
      <c r="O18" s="15" t="s">
        <v>55</v>
      </c>
      <c r="P18" s="15" t="s">
        <v>55</v>
      </c>
      <c r="Q18" s="15" t="s">
        <v>55</v>
      </c>
      <c r="R18" s="15" t="s">
        <v>55</v>
      </c>
      <c r="S18" t="s">
        <v>55</v>
      </c>
      <c r="T18" s="20" t="s">
        <v>55</v>
      </c>
      <c r="U18" s="20" t="e">
        <f t="shared" si="1"/>
        <v>#VALUE!</v>
      </c>
      <c r="V18" s="20" t="e">
        <f t="shared" si="2"/>
        <v>#VALUE!</v>
      </c>
      <c r="W18" s="20" t="e">
        <f t="shared" si="3"/>
        <v>#VALUE!</v>
      </c>
      <c r="X18" s="20" t="e">
        <f t="shared" si="4"/>
        <v>#VALUE!</v>
      </c>
      <c r="Y18" s="20" t="e">
        <f t="shared" si="5"/>
        <v>#VALUE!</v>
      </c>
      <c r="Z18" s="20" t="e">
        <f t="shared" si="6"/>
        <v>#VALUE!</v>
      </c>
    </row>
    <row r="19" spans="1:26" ht="14.25" customHeight="1" x14ac:dyDescent="0.15">
      <c r="A19" s="74" t="s">
        <v>33</v>
      </c>
      <c r="B19" s="93">
        <v>45546</v>
      </c>
      <c r="C19" s="11">
        <v>0.48333333333333334</v>
      </c>
      <c r="D19" s="12">
        <v>50</v>
      </c>
      <c r="E19" s="15" t="s">
        <v>55</v>
      </c>
      <c r="F19" s="15" t="s">
        <v>55</v>
      </c>
      <c r="G19" s="15" t="s">
        <v>55</v>
      </c>
      <c r="H19" s="15" t="s">
        <v>55</v>
      </c>
      <c r="I19" s="15" t="s">
        <v>55</v>
      </c>
      <c r="J19" s="15" t="s">
        <v>55</v>
      </c>
      <c r="K19" s="15" t="s">
        <v>55</v>
      </c>
      <c r="L19" s="15" t="s">
        <v>55</v>
      </c>
      <c r="M19" s="15" t="s">
        <v>55</v>
      </c>
      <c r="N19" s="15" t="s">
        <v>55</v>
      </c>
      <c r="O19" s="15" t="s">
        <v>55</v>
      </c>
      <c r="P19" s="15" t="s">
        <v>55</v>
      </c>
      <c r="Q19" s="15" t="s">
        <v>55</v>
      </c>
      <c r="R19" s="15" t="s">
        <v>55</v>
      </c>
      <c r="S19" t="s">
        <v>55</v>
      </c>
      <c r="T19" s="20" t="s">
        <v>55</v>
      </c>
      <c r="U19" s="20" t="e">
        <f t="shared" si="1"/>
        <v>#VALUE!</v>
      </c>
      <c r="V19" s="20" t="e">
        <f t="shared" si="2"/>
        <v>#VALUE!</v>
      </c>
      <c r="W19" s="20" t="e">
        <f t="shared" si="3"/>
        <v>#VALUE!</v>
      </c>
      <c r="X19" s="20" t="e">
        <f t="shared" si="4"/>
        <v>#VALUE!</v>
      </c>
      <c r="Y19" s="20" t="e">
        <f t="shared" si="5"/>
        <v>#VALUE!</v>
      </c>
      <c r="Z19" s="20" t="e">
        <f t="shared" si="6"/>
        <v>#VALUE!</v>
      </c>
    </row>
    <row r="20" spans="1:26" ht="14.25" customHeight="1" x14ac:dyDescent="0.15">
      <c r="A20" s="4"/>
      <c r="B20" s="104"/>
      <c r="C20" s="22"/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T20" s="20"/>
      <c r="U20" s="20"/>
      <c r="V20" s="20"/>
      <c r="W20" s="20"/>
      <c r="X20" s="20"/>
      <c r="Y20" s="20"/>
      <c r="Z20" s="20"/>
    </row>
    <row r="21" spans="1:26" ht="14.25" customHeight="1" x14ac:dyDescent="0.15">
      <c r="A21" s="55" t="s">
        <v>23</v>
      </c>
      <c r="B21" s="93">
        <v>45546</v>
      </c>
      <c r="C21" s="30">
        <v>0.4236111111111111</v>
      </c>
      <c r="D21" s="18">
        <v>40</v>
      </c>
      <c r="E21" s="17" t="s">
        <v>55</v>
      </c>
      <c r="F21" s="16" t="s">
        <v>55</v>
      </c>
      <c r="G21" s="16" t="s">
        <v>55</v>
      </c>
      <c r="H21" s="16" t="s">
        <v>55</v>
      </c>
      <c r="I21" s="16" t="s">
        <v>55</v>
      </c>
      <c r="J21" s="16" t="s">
        <v>55</v>
      </c>
      <c r="K21" s="16" t="s">
        <v>55</v>
      </c>
      <c r="L21" s="16" t="s">
        <v>55</v>
      </c>
      <c r="M21" s="16" t="s">
        <v>55</v>
      </c>
      <c r="N21" s="16" t="s">
        <v>55</v>
      </c>
      <c r="O21" s="16" t="s">
        <v>55</v>
      </c>
      <c r="P21" s="16" t="s">
        <v>55</v>
      </c>
      <c r="Q21" s="16" t="s">
        <v>55</v>
      </c>
      <c r="R21" s="16" t="s">
        <v>55</v>
      </c>
      <c r="S21" t="s">
        <v>55</v>
      </c>
      <c r="T21" s="20" t="s">
        <v>55</v>
      </c>
      <c r="U21" s="20" t="e">
        <f t="shared" si="1"/>
        <v>#VALUE!</v>
      </c>
      <c r="V21" s="20" t="e">
        <f t="shared" si="2"/>
        <v>#VALUE!</v>
      </c>
      <c r="W21" s="20" t="e">
        <f t="shared" si="3"/>
        <v>#VALUE!</v>
      </c>
      <c r="X21" s="20" t="e">
        <f t="shared" si="4"/>
        <v>#VALUE!</v>
      </c>
      <c r="Y21" s="20" t="e">
        <f t="shared" si="5"/>
        <v>#VALUE!</v>
      </c>
      <c r="Z21" s="20" t="e">
        <f t="shared" si="6"/>
        <v>#VALUE!</v>
      </c>
    </row>
    <row r="22" spans="1:26" ht="14.25" customHeight="1" x14ac:dyDescent="0.15">
      <c r="A22" s="56" t="s">
        <v>24</v>
      </c>
      <c r="B22" s="93">
        <v>45546</v>
      </c>
      <c r="C22" s="11">
        <v>0.42569444444444443</v>
      </c>
      <c r="D22" s="12">
        <v>40</v>
      </c>
      <c r="E22" s="15" t="s">
        <v>55</v>
      </c>
      <c r="F22" s="15" t="s">
        <v>55</v>
      </c>
      <c r="G22" s="15" t="s">
        <v>55</v>
      </c>
      <c r="H22" s="15" t="s">
        <v>55</v>
      </c>
      <c r="I22" s="15" t="s">
        <v>55</v>
      </c>
      <c r="J22" s="15" t="s">
        <v>55</v>
      </c>
      <c r="K22" s="15" t="s">
        <v>55</v>
      </c>
      <c r="L22" s="15" t="s">
        <v>55</v>
      </c>
      <c r="M22" s="15" t="s">
        <v>55</v>
      </c>
      <c r="N22" s="15" t="s">
        <v>55</v>
      </c>
      <c r="O22" s="15" t="s">
        <v>55</v>
      </c>
      <c r="P22" s="15" t="s">
        <v>55</v>
      </c>
      <c r="Q22" s="15" t="s">
        <v>55</v>
      </c>
      <c r="R22" s="15" t="s">
        <v>55</v>
      </c>
      <c r="S22" t="s">
        <v>55</v>
      </c>
      <c r="T22" s="20" t="s">
        <v>55</v>
      </c>
      <c r="U22" s="20" t="e">
        <f t="shared" si="1"/>
        <v>#VALUE!</v>
      </c>
      <c r="V22" s="20" t="e">
        <f t="shared" si="2"/>
        <v>#VALUE!</v>
      </c>
      <c r="W22" s="20" t="e">
        <f t="shared" si="3"/>
        <v>#VALUE!</v>
      </c>
      <c r="X22" s="20" t="e">
        <f t="shared" si="4"/>
        <v>#VALUE!</v>
      </c>
      <c r="Y22" s="20" t="e">
        <f t="shared" si="5"/>
        <v>#VALUE!</v>
      </c>
      <c r="Z22" s="20" t="e">
        <f t="shared" si="6"/>
        <v>#VALUE!</v>
      </c>
    </row>
    <row r="23" spans="1:26" ht="14.25" customHeight="1" x14ac:dyDescent="0.15">
      <c r="A23" s="74" t="s">
        <v>31</v>
      </c>
      <c r="B23" s="93">
        <v>45546</v>
      </c>
      <c r="C23" s="11">
        <v>0.42777777777777781</v>
      </c>
      <c r="D23" s="12">
        <v>40</v>
      </c>
      <c r="E23" s="15" t="s">
        <v>55</v>
      </c>
      <c r="F23" s="15" t="s">
        <v>55</v>
      </c>
      <c r="G23" s="15" t="s">
        <v>55</v>
      </c>
      <c r="H23" s="15" t="s">
        <v>55</v>
      </c>
      <c r="I23" s="15" t="s">
        <v>55</v>
      </c>
      <c r="J23" s="15" t="s">
        <v>55</v>
      </c>
      <c r="K23" s="15" t="s">
        <v>55</v>
      </c>
      <c r="L23" s="15" t="s">
        <v>55</v>
      </c>
      <c r="M23" s="15" t="s">
        <v>55</v>
      </c>
      <c r="N23" s="15" t="s">
        <v>55</v>
      </c>
      <c r="O23" s="15" t="s">
        <v>55</v>
      </c>
      <c r="P23" s="15" t="s">
        <v>55</v>
      </c>
      <c r="Q23" s="15" t="s">
        <v>55</v>
      </c>
      <c r="R23" s="15" t="s">
        <v>55</v>
      </c>
      <c r="S23" t="s">
        <v>55</v>
      </c>
      <c r="T23" s="20" t="s">
        <v>55</v>
      </c>
      <c r="U23" s="20" t="e">
        <f t="shared" ref="U23:Z23" si="10">M23-$T23</f>
        <v>#VALUE!</v>
      </c>
      <c r="V23" s="20" t="e">
        <f t="shared" si="10"/>
        <v>#VALUE!</v>
      </c>
      <c r="W23" s="20" t="e">
        <f t="shared" si="10"/>
        <v>#VALUE!</v>
      </c>
      <c r="X23" s="20" t="e">
        <f t="shared" si="10"/>
        <v>#VALUE!</v>
      </c>
      <c r="Y23" s="20" t="e">
        <f t="shared" si="10"/>
        <v>#VALUE!</v>
      </c>
      <c r="Z23" s="20" t="e">
        <f t="shared" si="10"/>
        <v>#VALUE!</v>
      </c>
    </row>
    <row r="24" spans="1:26" ht="14.25" customHeight="1" x14ac:dyDescent="0.15">
      <c r="A24" s="74" t="s">
        <v>32</v>
      </c>
      <c r="B24" s="93">
        <v>45546</v>
      </c>
      <c r="C24" s="11">
        <v>0.42986111111111108</v>
      </c>
      <c r="D24" s="12">
        <v>40</v>
      </c>
      <c r="E24" s="15" t="s">
        <v>55</v>
      </c>
      <c r="F24" s="15" t="s">
        <v>55</v>
      </c>
      <c r="G24" s="15" t="s">
        <v>55</v>
      </c>
      <c r="H24" s="15" t="s">
        <v>55</v>
      </c>
      <c r="I24" s="15" t="s">
        <v>55</v>
      </c>
      <c r="J24" s="15" t="s">
        <v>55</v>
      </c>
      <c r="K24" s="15" t="s">
        <v>55</v>
      </c>
      <c r="L24" s="15" t="s">
        <v>55</v>
      </c>
      <c r="M24" s="15" t="s">
        <v>55</v>
      </c>
      <c r="N24" s="15" t="s">
        <v>55</v>
      </c>
      <c r="O24" s="15" t="s">
        <v>55</v>
      </c>
      <c r="P24" s="15" t="s">
        <v>55</v>
      </c>
      <c r="Q24" s="15" t="s">
        <v>55</v>
      </c>
      <c r="R24" s="15" t="s">
        <v>55</v>
      </c>
      <c r="S24" t="s">
        <v>55</v>
      </c>
      <c r="T24" s="20" t="s">
        <v>55</v>
      </c>
      <c r="U24" s="20" t="e">
        <f t="shared" si="1"/>
        <v>#VALUE!</v>
      </c>
      <c r="V24" s="20" t="e">
        <f t="shared" si="2"/>
        <v>#VALUE!</v>
      </c>
      <c r="W24" s="20" t="e">
        <f t="shared" si="3"/>
        <v>#VALUE!</v>
      </c>
      <c r="X24" s="20" t="e">
        <f t="shared" si="4"/>
        <v>#VALUE!</v>
      </c>
      <c r="Y24" s="20" t="e">
        <f t="shared" si="5"/>
        <v>#VALUE!</v>
      </c>
      <c r="Z24" s="20" t="e">
        <f t="shared" si="6"/>
        <v>#VALUE!</v>
      </c>
    </row>
    <row r="25" spans="1:26" ht="14.25" customHeight="1" x14ac:dyDescent="0.15">
      <c r="A25" s="74" t="s">
        <v>33</v>
      </c>
      <c r="B25" s="93">
        <v>45546</v>
      </c>
      <c r="C25" s="11">
        <v>0.43194444444444446</v>
      </c>
      <c r="D25" s="12">
        <v>40</v>
      </c>
      <c r="E25" s="15" t="s">
        <v>55</v>
      </c>
      <c r="F25" s="15" t="s">
        <v>55</v>
      </c>
      <c r="G25" s="15" t="s">
        <v>55</v>
      </c>
      <c r="H25" s="15" t="s">
        <v>55</v>
      </c>
      <c r="I25" s="15" t="s">
        <v>55</v>
      </c>
      <c r="J25" s="15" t="s">
        <v>55</v>
      </c>
      <c r="K25" s="15" t="s">
        <v>55</v>
      </c>
      <c r="L25" s="15" t="s">
        <v>55</v>
      </c>
      <c r="M25" s="15" t="s">
        <v>55</v>
      </c>
      <c r="N25" s="15" t="s">
        <v>55</v>
      </c>
      <c r="O25" s="15" t="s">
        <v>55</v>
      </c>
      <c r="P25" s="15" t="s">
        <v>55</v>
      </c>
      <c r="Q25" s="15" t="s">
        <v>55</v>
      </c>
      <c r="R25" s="15" t="s">
        <v>55</v>
      </c>
      <c r="S25" t="s">
        <v>55</v>
      </c>
      <c r="T25" s="20" t="s">
        <v>55</v>
      </c>
      <c r="U25" s="20" t="e">
        <f t="shared" si="1"/>
        <v>#VALUE!</v>
      </c>
      <c r="V25" s="20" t="e">
        <f t="shared" si="2"/>
        <v>#VALUE!</v>
      </c>
      <c r="W25" s="20" t="e">
        <f t="shared" si="3"/>
        <v>#VALUE!</v>
      </c>
      <c r="X25" s="20" t="e">
        <f t="shared" si="4"/>
        <v>#VALUE!</v>
      </c>
      <c r="Y25" s="20" t="e">
        <f t="shared" si="5"/>
        <v>#VALUE!</v>
      </c>
      <c r="Z25" s="20" t="e">
        <f t="shared" si="6"/>
        <v>#VALUE!</v>
      </c>
    </row>
    <row r="26" spans="1:26" ht="14.25" customHeight="1" x14ac:dyDescent="0.15">
      <c r="A26" s="4"/>
      <c r="B26" s="104"/>
      <c r="C26" s="22"/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T26" s="20"/>
      <c r="U26" s="20"/>
      <c r="V26" s="20"/>
      <c r="W26" s="20"/>
      <c r="X26" s="20"/>
      <c r="Y26" s="20"/>
      <c r="Z26" s="20"/>
    </row>
    <row r="27" spans="1:26" ht="14.25" customHeight="1" x14ac:dyDescent="0.15">
      <c r="A27" s="55" t="s">
        <v>23</v>
      </c>
      <c r="B27" s="93">
        <v>45546</v>
      </c>
      <c r="C27" s="9">
        <v>0.37916666666666665</v>
      </c>
      <c r="D27" s="10">
        <v>30</v>
      </c>
      <c r="E27" s="17" t="s">
        <v>55</v>
      </c>
      <c r="F27" s="16" t="s">
        <v>55</v>
      </c>
      <c r="G27" s="16" t="s">
        <v>55</v>
      </c>
      <c r="H27" s="16" t="s">
        <v>55</v>
      </c>
      <c r="I27" s="16" t="s">
        <v>55</v>
      </c>
      <c r="J27" s="16" t="s">
        <v>55</v>
      </c>
      <c r="K27" s="16" t="s">
        <v>55</v>
      </c>
      <c r="L27" s="16" t="s">
        <v>55</v>
      </c>
      <c r="M27" s="16" t="s">
        <v>55</v>
      </c>
      <c r="N27" s="16" t="s">
        <v>55</v>
      </c>
      <c r="O27" s="16" t="s">
        <v>55</v>
      </c>
      <c r="P27" s="16" t="s">
        <v>55</v>
      </c>
      <c r="Q27" s="16" t="s">
        <v>55</v>
      </c>
      <c r="R27" s="16" t="s">
        <v>55</v>
      </c>
      <c r="S27" t="s">
        <v>55</v>
      </c>
      <c r="T27" s="20" t="s">
        <v>55</v>
      </c>
      <c r="U27" s="20" t="e">
        <f t="shared" si="1"/>
        <v>#VALUE!</v>
      </c>
      <c r="V27" s="20" t="e">
        <f t="shared" si="2"/>
        <v>#VALUE!</v>
      </c>
      <c r="W27" s="20" t="e">
        <f t="shared" si="3"/>
        <v>#VALUE!</v>
      </c>
      <c r="X27" s="20" t="e">
        <f t="shared" si="4"/>
        <v>#VALUE!</v>
      </c>
      <c r="Y27" s="20" t="e">
        <f t="shared" si="5"/>
        <v>#VALUE!</v>
      </c>
      <c r="Z27" s="20" t="e">
        <f t="shared" si="6"/>
        <v>#VALUE!</v>
      </c>
    </row>
    <row r="28" spans="1:26" ht="14.25" customHeight="1" x14ac:dyDescent="0.15">
      <c r="A28" s="56" t="s">
        <v>24</v>
      </c>
      <c r="B28" s="93">
        <v>45546</v>
      </c>
      <c r="C28" s="11">
        <v>0.38194444444444442</v>
      </c>
      <c r="D28" s="12">
        <v>30</v>
      </c>
      <c r="E28" s="15" t="s">
        <v>55</v>
      </c>
      <c r="F28" s="15" t="s">
        <v>55</v>
      </c>
      <c r="G28" s="15" t="s">
        <v>55</v>
      </c>
      <c r="H28" s="15" t="s">
        <v>55</v>
      </c>
      <c r="I28" s="15" t="s">
        <v>55</v>
      </c>
      <c r="J28" s="15" t="s">
        <v>55</v>
      </c>
      <c r="K28" s="15" t="s">
        <v>55</v>
      </c>
      <c r="L28" s="15" t="s">
        <v>55</v>
      </c>
      <c r="M28" s="15" t="s">
        <v>55</v>
      </c>
      <c r="N28" s="15" t="s">
        <v>55</v>
      </c>
      <c r="O28" s="15" t="s">
        <v>55</v>
      </c>
      <c r="P28" s="15" t="s">
        <v>55</v>
      </c>
      <c r="Q28" s="15" t="s">
        <v>55</v>
      </c>
      <c r="R28" s="15" t="s">
        <v>55</v>
      </c>
      <c r="S28" t="s">
        <v>55</v>
      </c>
      <c r="T28" s="20" t="s">
        <v>55</v>
      </c>
      <c r="U28" s="20" t="e">
        <f t="shared" si="1"/>
        <v>#VALUE!</v>
      </c>
      <c r="V28" s="20" t="e">
        <f t="shared" si="2"/>
        <v>#VALUE!</v>
      </c>
      <c r="W28" s="20" t="e">
        <f t="shared" si="3"/>
        <v>#VALUE!</v>
      </c>
      <c r="X28" s="20" t="e">
        <f t="shared" si="4"/>
        <v>#VALUE!</v>
      </c>
      <c r="Y28" s="20" t="e">
        <f t="shared" si="5"/>
        <v>#VALUE!</v>
      </c>
      <c r="Z28" s="20" t="e">
        <f t="shared" si="6"/>
        <v>#VALUE!</v>
      </c>
    </row>
    <row r="29" spans="1:26" ht="14.25" customHeight="1" x14ac:dyDescent="0.15">
      <c r="A29" s="74" t="s">
        <v>31</v>
      </c>
      <c r="B29" s="93">
        <v>45546</v>
      </c>
      <c r="C29" s="11">
        <v>0.3840277777777778</v>
      </c>
      <c r="D29" s="12">
        <v>30</v>
      </c>
      <c r="E29" s="15" t="s">
        <v>55</v>
      </c>
      <c r="F29" s="15" t="s">
        <v>55</v>
      </c>
      <c r="G29" s="15" t="s">
        <v>55</v>
      </c>
      <c r="H29" s="15" t="s">
        <v>55</v>
      </c>
      <c r="I29" s="15" t="s">
        <v>55</v>
      </c>
      <c r="J29" s="15" t="s">
        <v>55</v>
      </c>
      <c r="K29" s="15" t="s">
        <v>55</v>
      </c>
      <c r="L29" s="15" t="s">
        <v>55</v>
      </c>
      <c r="M29" s="15" t="s">
        <v>55</v>
      </c>
      <c r="N29" s="15" t="s">
        <v>55</v>
      </c>
      <c r="O29" s="15" t="s">
        <v>55</v>
      </c>
      <c r="P29" s="15" t="s">
        <v>55</v>
      </c>
      <c r="Q29" s="15" t="s">
        <v>55</v>
      </c>
      <c r="R29" s="15" t="s">
        <v>55</v>
      </c>
      <c r="S29" t="s">
        <v>55</v>
      </c>
      <c r="T29" s="20" t="s">
        <v>55</v>
      </c>
      <c r="U29" s="20" t="e">
        <f t="shared" ref="U29:Z29" si="11">M29-$T29</f>
        <v>#VALUE!</v>
      </c>
      <c r="V29" s="20" t="e">
        <f t="shared" si="11"/>
        <v>#VALUE!</v>
      </c>
      <c r="W29" s="20" t="e">
        <f t="shared" si="11"/>
        <v>#VALUE!</v>
      </c>
      <c r="X29" s="20" t="e">
        <f t="shared" si="11"/>
        <v>#VALUE!</v>
      </c>
      <c r="Y29" s="20" t="e">
        <f t="shared" si="11"/>
        <v>#VALUE!</v>
      </c>
      <c r="Z29" s="20" t="e">
        <f t="shared" si="11"/>
        <v>#VALUE!</v>
      </c>
    </row>
    <row r="30" spans="1:26" ht="14.25" customHeight="1" x14ac:dyDescent="0.15">
      <c r="A30" s="74" t="s">
        <v>32</v>
      </c>
      <c r="B30" s="93">
        <v>45546</v>
      </c>
      <c r="C30" s="11">
        <v>0.38611111111111113</v>
      </c>
      <c r="D30" s="12">
        <v>30</v>
      </c>
      <c r="E30" s="15" t="s">
        <v>55</v>
      </c>
      <c r="F30" s="15" t="s">
        <v>55</v>
      </c>
      <c r="G30" s="15" t="s">
        <v>55</v>
      </c>
      <c r="H30" s="15" t="s">
        <v>55</v>
      </c>
      <c r="I30" s="15" t="s">
        <v>55</v>
      </c>
      <c r="J30" s="15" t="s">
        <v>55</v>
      </c>
      <c r="K30" s="15" t="s">
        <v>55</v>
      </c>
      <c r="L30" s="15" t="s">
        <v>55</v>
      </c>
      <c r="M30" s="15" t="s">
        <v>55</v>
      </c>
      <c r="N30" s="15" t="s">
        <v>55</v>
      </c>
      <c r="O30" s="15" t="s">
        <v>55</v>
      </c>
      <c r="P30" s="15" t="s">
        <v>55</v>
      </c>
      <c r="Q30" s="15" t="s">
        <v>55</v>
      </c>
      <c r="R30" s="15" t="s">
        <v>55</v>
      </c>
      <c r="S30" t="s">
        <v>55</v>
      </c>
      <c r="T30" s="20" t="s">
        <v>55</v>
      </c>
      <c r="U30" s="20" t="e">
        <f t="shared" si="1"/>
        <v>#VALUE!</v>
      </c>
      <c r="V30" s="20" t="e">
        <f t="shared" si="2"/>
        <v>#VALUE!</v>
      </c>
      <c r="W30" s="20" t="e">
        <f t="shared" si="3"/>
        <v>#VALUE!</v>
      </c>
      <c r="X30" s="20" t="e">
        <f t="shared" si="4"/>
        <v>#VALUE!</v>
      </c>
      <c r="Y30" s="20" t="e">
        <f t="shared" si="5"/>
        <v>#VALUE!</v>
      </c>
      <c r="Z30" s="20" t="e">
        <f t="shared" si="6"/>
        <v>#VALUE!</v>
      </c>
    </row>
    <row r="31" spans="1:26" ht="14.25" customHeight="1" x14ac:dyDescent="0.15">
      <c r="A31" s="74" t="s">
        <v>33</v>
      </c>
      <c r="B31" s="93">
        <v>45546</v>
      </c>
      <c r="C31" s="11">
        <v>0.38819444444444445</v>
      </c>
      <c r="D31" s="12">
        <v>30</v>
      </c>
      <c r="E31" s="15" t="s">
        <v>55</v>
      </c>
      <c r="F31" s="15" t="s">
        <v>55</v>
      </c>
      <c r="G31" s="15" t="s">
        <v>55</v>
      </c>
      <c r="H31" s="15" t="s">
        <v>55</v>
      </c>
      <c r="I31" s="15" t="s">
        <v>55</v>
      </c>
      <c r="J31" s="15" t="s">
        <v>55</v>
      </c>
      <c r="K31" s="15" t="s">
        <v>55</v>
      </c>
      <c r="L31" s="15" t="s">
        <v>55</v>
      </c>
      <c r="M31" s="15" t="s">
        <v>55</v>
      </c>
      <c r="N31" s="15" t="s">
        <v>55</v>
      </c>
      <c r="O31" s="15" t="s">
        <v>55</v>
      </c>
      <c r="P31" s="15" t="s">
        <v>55</v>
      </c>
      <c r="Q31" s="15" t="s">
        <v>55</v>
      </c>
      <c r="R31" s="15" t="s">
        <v>55</v>
      </c>
      <c r="S31" t="s">
        <v>55</v>
      </c>
      <c r="T31" s="20" t="s">
        <v>55</v>
      </c>
      <c r="U31" s="20" t="e">
        <f t="shared" si="1"/>
        <v>#VALUE!</v>
      </c>
      <c r="V31" s="20" t="e">
        <f t="shared" si="2"/>
        <v>#VALUE!</v>
      </c>
      <c r="W31" s="20" t="e">
        <f t="shared" si="3"/>
        <v>#VALUE!</v>
      </c>
      <c r="X31" s="20" t="e">
        <f t="shared" si="4"/>
        <v>#VALUE!</v>
      </c>
      <c r="Y31" s="20" t="e">
        <f t="shared" si="5"/>
        <v>#VALUE!</v>
      </c>
      <c r="Z31" s="20" t="e">
        <f t="shared" si="6"/>
        <v>#VALUE!</v>
      </c>
    </row>
    <row r="32" spans="1:26" ht="14.25" customHeight="1" x14ac:dyDescent="0.15">
      <c r="A32" s="4"/>
      <c r="B32" s="104"/>
      <c r="C32" s="22"/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T32" s="20"/>
      <c r="U32" s="20"/>
      <c r="V32" s="20"/>
      <c r="W32" s="20"/>
      <c r="X32" s="20"/>
      <c r="Y32" s="20"/>
      <c r="Z32" s="20"/>
    </row>
    <row r="33" spans="1:26" ht="14.25" customHeight="1" x14ac:dyDescent="0.15">
      <c r="A33" s="55" t="s">
        <v>23</v>
      </c>
      <c r="B33" s="93">
        <v>45546</v>
      </c>
      <c r="C33" s="9">
        <v>0.68055555555555547</v>
      </c>
      <c r="D33" s="38">
        <v>30</v>
      </c>
      <c r="E33" s="17" t="s">
        <v>55</v>
      </c>
      <c r="F33" s="16" t="s">
        <v>55</v>
      </c>
      <c r="G33" s="16" t="s">
        <v>55</v>
      </c>
      <c r="H33" s="16" t="s">
        <v>55</v>
      </c>
      <c r="I33" s="16" t="s">
        <v>55</v>
      </c>
      <c r="J33" s="16" t="s">
        <v>55</v>
      </c>
      <c r="K33" s="16" t="s">
        <v>55</v>
      </c>
      <c r="L33" s="16" t="s">
        <v>55</v>
      </c>
      <c r="M33" s="16" t="s">
        <v>55</v>
      </c>
      <c r="N33" s="16" t="s">
        <v>55</v>
      </c>
      <c r="O33" s="16" t="s">
        <v>55</v>
      </c>
      <c r="P33" s="16" t="s">
        <v>55</v>
      </c>
      <c r="Q33" s="16" t="s">
        <v>55</v>
      </c>
      <c r="R33" s="16" t="s">
        <v>55</v>
      </c>
      <c r="S33" t="s">
        <v>55</v>
      </c>
      <c r="T33" s="20" t="s">
        <v>55</v>
      </c>
      <c r="U33" s="20" t="e">
        <f t="shared" ref="U33:Z35" si="12">M33-$T33</f>
        <v>#VALUE!</v>
      </c>
      <c r="V33" s="20" t="e">
        <f t="shared" si="12"/>
        <v>#VALUE!</v>
      </c>
      <c r="W33" s="20" t="e">
        <f t="shared" si="12"/>
        <v>#VALUE!</v>
      </c>
      <c r="X33" s="20" t="e">
        <f t="shared" si="12"/>
        <v>#VALUE!</v>
      </c>
      <c r="Y33" s="20" t="e">
        <f t="shared" si="12"/>
        <v>#VALUE!</v>
      </c>
      <c r="Z33" s="20" t="e">
        <f t="shared" si="12"/>
        <v>#VALUE!</v>
      </c>
    </row>
    <row r="34" spans="1:26" ht="14.25" customHeight="1" x14ac:dyDescent="0.15">
      <c r="A34" s="56" t="s">
        <v>24</v>
      </c>
      <c r="B34" s="93">
        <v>45546</v>
      </c>
      <c r="C34" s="11">
        <v>0.68263888888888891</v>
      </c>
      <c r="D34" s="12">
        <v>30</v>
      </c>
      <c r="E34" s="15" t="s">
        <v>55</v>
      </c>
      <c r="F34" s="15" t="s">
        <v>55</v>
      </c>
      <c r="G34" s="15" t="s">
        <v>55</v>
      </c>
      <c r="H34" s="15" t="s">
        <v>55</v>
      </c>
      <c r="I34" s="15" t="s">
        <v>55</v>
      </c>
      <c r="J34" s="15" t="s">
        <v>55</v>
      </c>
      <c r="K34" s="15" t="s">
        <v>55</v>
      </c>
      <c r="L34" s="15" t="s">
        <v>55</v>
      </c>
      <c r="M34" s="15" t="s">
        <v>55</v>
      </c>
      <c r="N34" s="15" t="s">
        <v>55</v>
      </c>
      <c r="O34" s="15" t="s">
        <v>55</v>
      </c>
      <c r="P34" s="15" t="s">
        <v>55</v>
      </c>
      <c r="Q34" s="15" t="s">
        <v>55</v>
      </c>
      <c r="R34" s="15" t="s">
        <v>55</v>
      </c>
      <c r="S34" t="s">
        <v>55</v>
      </c>
      <c r="T34" s="20" t="s">
        <v>55</v>
      </c>
      <c r="U34" s="20" t="e">
        <f t="shared" si="12"/>
        <v>#VALUE!</v>
      </c>
      <c r="V34" s="20" t="e">
        <f t="shared" si="12"/>
        <v>#VALUE!</v>
      </c>
      <c r="W34" s="20" t="e">
        <f t="shared" si="12"/>
        <v>#VALUE!</v>
      </c>
      <c r="X34" s="20" t="e">
        <f t="shared" si="12"/>
        <v>#VALUE!</v>
      </c>
      <c r="Y34" s="20" t="e">
        <f t="shared" si="12"/>
        <v>#VALUE!</v>
      </c>
      <c r="Z34" s="20" t="e">
        <f t="shared" si="12"/>
        <v>#VALUE!</v>
      </c>
    </row>
    <row r="35" spans="1:26" ht="14.25" customHeight="1" x14ac:dyDescent="0.15">
      <c r="A35" s="74" t="s">
        <v>31</v>
      </c>
      <c r="B35" s="93">
        <v>45546</v>
      </c>
      <c r="C35" s="11">
        <v>0.68472222222222223</v>
      </c>
      <c r="D35" s="12">
        <v>30</v>
      </c>
      <c r="E35" s="15" t="s">
        <v>55</v>
      </c>
      <c r="F35" s="15" t="s">
        <v>55</v>
      </c>
      <c r="G35" s="15" t="s">
        <v>55</v>
      </c>
      <c r="H35" s="15" t="s">
        <v>55</v>
      </c>
      <c r="I35" s="15" t="s">
        <v>55</v>
      </c>
      <c r="J35" s="15" t="s">
        <v>55</v>
      </c>
      <c r="K35" s="15" t="s">
        <v>55</v>
      </c>
      <c r="L35" s="15" t="s">
        <v>55</v>
      </c>
      <c r="M35" s="15" t="s">
        <v>55</v>
      </c>
      <c r="N35" s="15" t="s">
        <v>55</v>
      </c>
      <c r="O35" s="15" t="s">
        <v>55</v>
      </c>
      <c r="P35" s="15" t="s">
        <v>55</v>
      </c>
      <c r="Q35" s="15" t="s">
        <v>55</v>
      </c>
      <c r="R35" s="15" t="s">
        <v>55</v>
      </c>
      <c r="S35" t="s">
        <v>55</v>
      </c>
      <c r="T35" s="20" t="s">
        <v>55</v>
      </c>
      <c r="U35" s="20" t="e">
        <f t="shared" si="12"/>
        <v>#VALUE!</v>
      </c>
      <c r="V35" s="20" t="e">
        <f t="shared" si="12"/>
        <v>#VALUE!</v>
      </c>
      <c r="W35" s="20" t="e">
        <f t="shared" si="12"/>
        <v>#VALUE!</v>
      </c>
      <c r="X35" s="20" t="e">
        <f t="shared" si="12"/>
        <v>#VALUE!</v>
      </c>
      <c r="Y35" s="20" t="e">
        <f t="shared" si="12"/>
        <v>#VALUE!</v>
      </c>
      <c r="Z35" s="20" t="e">
        <f t="shared" si="12"/>
        <v>#VALUE!</v>
      </c>
    </row>
    <row r="36" spans="1:26" ht="14.25" customHeight="1" x14ac:dyDescent="0.15">
      <c r="A36" s="74" t="s">
        <v>32</v>
      </c>
      <c r="B36" s="93">
        <v>45546</v>
      </c>
      <c r="C36" s="11">
        <v>0.68680555555555556</v>
      </c>
      <c r="D36" s="12">
        <v>30</v>
      </c>
      <c r="E36" s="15" t="s">
        <v>55</v>
      </c>
      <c r="F36" s="15" t="s">
        <v>55</v>
      </c>
      <c r="G36" s="15" t="s">
        <v>55</v>
      </c>
      <c r="H36" s="15" t="s">
        <v>55</v>
      </c>
      <c r="I36" s="15" t="s">
        <v>55</v>
      </c>
      <c r="J36" s="15" t="s">
        <v>55</v>
      </c>
      <c r="K36" s="15" t="s">
        <v>55</v>
      </c>
      <c r="L36" s="15" t="s">
        <v>55</v>
      </c>
      <c r="M36" s="15" t="s">
        <v>55</v>
      </c>
      <c r="N36" s="15" t="s">
        <v>55</v>
      </c>
      <c r="O36" s="15" t="s">
        <v>55</v>
      </c>
      <c r="P36" s="15" t="s">
        <v>55</v>
      </c>
      <c r="Q36" s="15" t="s">
        <v>55</v>
      </c>
      <c r="R36" s="15" t="s">
        <v>55</v>
      </c>
      <c r="S36" t="s">
        <v>55</v>
      </c>
      <c r="T36" s="20" t="s">
        <v>55</v>
      </c>
      <c r="U36" s="20" t="e">
        <f t="shared" ref="U36:Z37" si="13">M36-$T36</f>
        <v>#VALUE!</v>
      </c>
      <c r="V36" s="20" t="e">
        <f t="shared" si="13"/>
        <v>#VALUE!</v>
      </c>
      <c r="W36" s="20" t="e">
        <f t="shared" si="13"/>
        <v>#VALUE!</v>
      </c>
      <c r="X36" s="20" t="e">
        <f t="shared" si="13"/>
        <v>#VALUE!</v>
      </c>
      <c r="Y36" s="20" t="e">
        <f t="shared" si="13"/>
        <v>#VALUE!</v>
      </c>
      <c r="Z36" s="20" t="e">
        <f t="shared" si="13"/>
        <v>#VALUE!</v>
      </c>
    </row>
    <row r="37" spans="1:26" ht="14.25" customHeight="1" x14ac:dyDescent="0.15">
      <c r="A37" s="74" t="s">
        <v>33</v>
      </c>
      <c r="B37" s="93">
        <v>45546</v>
      </c>
      <c r="C37" s="11">
        <v>0.68888888888888899</v>
      </c>
      <c r="D37" s="12">
        <v>30</v>
      </c>
      <c r="E37" s="15" t="s">
        <v>55</v>
      </c>
      <c r="F37" s="15" t="s">
        <v>55</v>
      </c>
      <c r="G37" s="15" t="s">
        <v>55</v>
      </c>
      <c r="H37" s="15" t="s">
        <v>55</v>
      </c>
      <c r="I37" s="15" t="s">
        <v>55</v>
      </c>
      <c r="J37" s="15" t="s">
        <v>55</v>
      </c>
      <c r="K37" s="15" t="s">
        <v>55</v>
      </c>
      <c r="L37" s="15" t="s">
        <v>55</v>
      </c>
      <c r="M37" s="15" t="s">
        <v>55</v>
      </c>
      <c r="N37" s="15" t="s">
        <v>55</v>
      </c>
      <c r="O37" s="15" t="s">
        <v>55</v>
      </c>
      <c r="P37" s="15" t="s">
        <v>55</v>
      </c>
      <c r="Q37" s="15" t="s">
        <v>55</v>
      </c>
      <c r="R37" s="15" t="s">
        <v>55</v>
      </c>
      <c r="S37" t="s">
        <v>55</v>
      </c>
      <c r="T37" s="20" t="s">
        <v>55</v>
      </c>
      <c r="U37" s="20" t="e">
        <f t="shared" si="13"/>
        <v>#VALUE!</v>
      </c>
      <c r="V37" s="20" t="e">
        <f t="shared" si="13"/>
        <v>#VALUE!</v>
      </c>
      <c r="W37" s="20" t="e">
        <f t="shared" si="13"/>
        <v>#VALUE!</v>
      </c>
      <c r="X37" s="20" t="e">
        <f t="shared" si="13"/>
        <v>#VALUE!</v>
      </c>
      <c r="Y37" s="20" t="e">
        <f t="shared" si="13"/>
        <v>#VALUE!</v>
      </c>
      <c r="Z37" s="20" t="e">
        <f t="shared" si="13"/>
        <v>#VALUE!</v>
      </c>
    </row>
    <row r="38" spans="1:26" ht="14.25" customHeight="1" x14ac:dyDescent="0.15">
      <c r="A38" s="37"/>
      <c r="B38" s="103"/>
      <c r="C38" s="50"/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T38" s="20"/>
      <c r="U38" s="20"/>
      <c r="V38" s="20"/>
      <c r="W38" s="20"/>
      <c r="X38" s="20"/>
      <c r="Y38" s="20"/>
      <c r="Z38" s="20"/>
    </row>
    <row r="39" spans="1:26" ht="14.25" customHeight="1" x14ac:dyDescent="0.15">
      <c r="A39" s="55" t="s">
        <v>23</v>
      </c>
      <c r="B39" s="93">
        <v>45546</v>
      </c>
      <c r="C39" s="13">
        <v>0.74236111111111114</v>
      </c>
      <c r="D39" s="10">
        <v>25</v>
      </c>
      <c r="E39" s="17" t="s">
        <v>55</v>
      </c>
      <c r="F39" s="16" t="s">
        <v>55</v>
      </c>
      <c r="G39" s="16" t="s">
        <v>55</v>
      </c>
      <c r="H39" s="16" t="s">
        <v>55</v>
      </c>
      <c r="I39" s="16" t="s">
        <v>55</v>
      </c>
      <c r="J39" s="16" t="s">
        <v>55</v>
      </c>
      <c r="K39" s="16" t="s">
        <v>55</v>
      </c>
      <c r="L39" s="16" t="s">
        <v>55</v>
      </c>
      <c r="M39" s="16" t="s">
        <v>55</v>
      </c>
      <c r="N39" s="16" t="s">
        <v>55</v>
      </c>
      <c r="O39" s="16" t="s">
        <v>55</v>
      </c>
      <c r="P39" s="16" t="s">
        <v>55</v>
      </c>
      <c r="Q39" s="16" t="s">
        <v>55</v>
      </c>
      <c r="R39" s="16" t="s">
        <v>55</v>
      </c>
      <c r="S39" t="s">
        <v>55</v>
      </c>
      <c r="T39" s="20" t="s">
        <v>55</v>
      </c>
      <c r="U39" s="20" t="e">
        <f t="shared" si="1"/>
        <v>#VALUE!</v>
      </c>
      <c r="V39" s="20" t="e">
        <f t="shared" si="2"/>
        <v>#VALUE!</v>
      </c>
      <c r="W39" s="20" t="e">
        <f t="shared" si="3"/>
        <v>#VALUE!</v>
      </c>
      <c r="X39" s="20" t="e">
        <f t="shared" si="4"/>
        <v>#VALUE!</v>
      </c>
      <c r="Y39" s="20" t="e">
        <f t="shared" si="5"/>
        <v>#VALUE!</v>
      </c>
      <c r="Z39" s="20" t="e">
        <f t="shared" si="6"/>
        <v>#VALUE!</v>
      </c>
    </row>
    <row r="40" spans="1:26" ht="14.25" customHeight="1" x14ac:dyDescent="0.15">
      <c r="A40" s="56" t="s">
        <v>24</v>
      </c>
      <c r="B40" s="93">
        <v>45546</v>
      </c>
      <c r="C40" s="11">
        <v>0.74444444444444446</v>
      </c>
      <c r="D40" s="12">
        <v>25</v>
      </c>
      <c r="E40" s="15" t="s">
        <v>55</v>
      </c>
      <c r="F40" s="15" t="s">
        <v>55</v>
      </c>
      <c r="G40" s="15" t="s">
        <v>55</v>
      </c>
      <c r="H40" s="15" t="s">
        <v>55</v>
      </c>
      <c r="I40" s="15" t="s">
        <v>55</v>
      </c>
      <c r="J40" s="15" t="s">
        <v>55</v>
      </c>
      <c r="K40" s="15" t="s">
        <v>55</v>
      </c>
      <c r="L40" s="15" t="s">
        <v>55</v>
      </c>
      <c r="M40" s="15" t="s">
        <v>55</v>
      </c>
      <c r="N40" s="15" t="s">
        <v>55</v>
      </c>
      <c r="O40" s="15" t="s">
        <v>55</v>
      </c>
      <c r="P40" s="15" t="s">
        <v>55</v>
      </c>
      <c r="Q40" s="15" t="s">
        <v>55</v>
      </c>
      <c r="R40" s="15" t="s">
        <v>55</v>
      </c>
      <c r="S40" t="s">
        <v>55</v>
      </c>
      <c r="T40" s="20" t="s">
        <v>55</v>
      </c>
      <c r="U40" s="20" t="e">
        <f t="shared" si="1"/>
        <v>#VALUE!</v>
      </c>
      <c r="V40" s="20" t="e">
        <f t="shared" si="2"/>
        <v>#VALUE!</v>
      </c>
      <c r="W40" s="20" t="e">
        <f t="shared" si="3"/>
        <v>#VALUE!</v>
      </c>
      <c r="X40" s="20" t="e">
        <f t="shared" si="4"/>
        <v>#VALUE!</v>
      </c>
      <c r="Y40" s="20" t="e">
        <f t="shared" si="5"/>
        <v>#VALUE!</v>
      </c>
      <c r="Z40" s="20" t="e">
        <f t="shared" si="6"/>
        <v>#VALUE!</v>
      </c>
    </row>
    <row r="41" spans="1:26" ht="14.25" customHeight="1" x14ac:dyDescent="0.15">
      <c r="A41" s="74" t="s">
        <v>31</v>
      </c>
      <c r="B41" s="93">
        <v>45546</v>
      </c>
      <c r="C41" s="11">
        <v>0.74652777777777779</v>
      </c>
      <c r="D41" s="12">
        <v>25</v>
      </c>
      <c r="E41" s="15" t="s">
        <v>55</v>
      </c>
      <c r="F41" s="15" t="s">
        <v>55</v>
      </c>
      <c r="G41" s="15" t="s">
        <v>55</v>
      </c>
      <c r="H41" s="15" t="s">
        <v>55</v>
      </c>
      <c r="I41" s="15" t="s">
        <v>55</v>
      </c>
      <c r="J41" s="15" t="s">
        <v>55</v>
      </c>
      <c r="K41" s="15" t="s">
        <v>55</v>
      </c>
      <c r="L41" s="15" t="s">
        <v>55</v>
      </c>
      <c r="M41" s="15" t="s">
        <v>55</v>
      </c>
      <c r="N41" s="15" t="s">
        <v>55</v>
      </c>
      <c r="O41" s="15" t="s">
        <v>55</v>
      </c>
      <c r="P41" s="15" t="s">
        <v>55</v>
      </c>
      <c r="Q41" s="15" t="s">
        <v>55</v>
      </c>
      <c r="R41" s="15" t="s">
        <v>55</v>
      </c>
      <c r="S41" t="s">
        <v>55</v>
      </c>
      <c r="T41" s="20" t="s">
        <v>55</v>
      </c>
      <c r="U41" s="20" t="e">
        <f t="shared" ref="U41:Z41" si="14">M41-$T41</f>
        <v>#VALUE!</v>
      </c>
      <c r="V41" s="20" t="e">
        <f t="shared" si="14"/>
        <v>#VALUE!</v>
      </c>
      <c r="W41" s="20" t="e">
        <f t="shared" si="14"/>
        <v>#VALUE!</v>
      </c>
      <c r="X41" s="20" t="e">
        <f t="shared" si="14"/>
        <v>#VALUE!</v>
      </c>
      <c r="Y41" s="20" t="e">
        <f t="shared" si="14"/>
        <v>#VALUE!</v>
      </c>
      <c r="Z41" s="20" t="e">
        <f t="shared" si="14"/>
        <v>#VALUE!</v>
      </c>
    </row>
    <row r="42" spans="1:26" ht="14.25" customHeight="1" x14ac:dyDescent="0.15">
      <c r="A42" s="74" t="s">
        <v>32</v>
      </c>
      <c r="B42" s="93">
        <v>45546</v>
      </c>
      <c r="C42" s="11">
        <v>0.74861111111111101</v>
      </c>
      <c r="D42" s="12">
        <v>25</v>
      </c>
      <c r="E42" s="15" t="s">
        <v>55</v>
      </c>
      <c r="F42" s="15" t="s">
        <v>55</v>
      </c>
      <c r="G42" s="15" t="s">
        <v>55</v>
      </c>
      <c r="H42" s="15" t="s">
        <v>55</v>
      </c>
      <c r="I42" s="15" t="s">
        <v>55</v>
      </c>
      <c r="J42" s="15" t="s">
        <v>55</v>
      </c>
      <c r="K42" s="15" t="s">
        <v>55</v>
      </c>
      <c r="L42" s="15" t="s">
        <v>55</v>
      </c>
      <c r="M42" s="15" t="s">
        <v>55</v>
      </c>
      <c r="N42" s="15" t="s">
        <v>55</v>
      </c>
      <c r="O42" s="15" t="s">
        <v>55</v>
      </c>
      <c r="P42" s="15" t="s">
        <v>55</v>
      </c>
      <c r="Q42" s="15" t="s">
        <v>55</v>
      </c>
      <c r="R42" s="15" t="s">
        <v>55</v>
      </c>
      <c r="S42" t="s">
        <v>55</v>
      </c>
      <c r="T42" s="20" t="s">
        <v>55</v>
      </c>
      <c r="U42" s="20" t="e">
        <f t="shared" si="1"/>
        <v>#VALUE!</v>
      </c>
      <c r="V42" s="20" t="e">
        <f t="shared" si="2"/>
        <v>#VALUE!</v>
      </c>
      <c r="W42" s="20" t="e">
        <f t="shared" si="3"/>
        <v>#VALUE!</v>
      </c>
      <c r="X42" s="20" t="e">
        <f t="shared" si="4"/>
        <v>#VALUE!</v>
      </c>
      <c r="Y42" s="20" t="e">
        <f t="shared" si="5"/>
        <v>#VALUE!</v>
      </c>
      <c r="Z42" s="20" t="e">
        <f t="shared" si="6"/>
        <v>#VALUE!</v>
      </c>
    </row>
    <row r="43" spans="1:26" ht="14.25" customHeight="1" x14ac:dyDescent="0.15">
      <c r="A43" s="74" t="s">
        <v>33</v>
      </c>
      <c r="B43" s="93">
        <v>45546</v>
      </c>
      <c r="C43" s="11">
        <v>0.75069444444444444</v>
      </c>
      <c r="D43" s="12">
        <v>25</v>
      </c>
      <c r="E43" s="15" t="s">
        <v>55</v>
      </c>
      <c r="F43" s="15" t="s">
        <v>55</v>
      </c>
      <c r="G43" s="15" t="s">
        <v>55</v>
      </c>
      <c r="H43" s="15" t="s">
        <v>55</v>
      </c>
      <c r="I43" s="15" t="s">
        <v>55</v>
      </c>
      <c r="J43" s="15" t="s">
        <v>55</v>
      </c>
      <c r="K43" s="15" t="s">
        <v>55</v>
      </c>
      <c r="L43" s="15" t="s">
        <v>55</v>
      </c>
      <c r="M43" s="15" t="s">
        <v>55</v>
      </c>
      <c r="N43" s="15" t="s">
        <v>55</v>
      </c>
      <c r="O43" s="15" t="s">
        <v>55</v>
      </c>
      <c r="P43" s="15" t="s">
        <v>55</v>
      </c>
      <c r="Q43" s="15" t="s">
        <v>55</v>
      </c>
      <c r="R43" s="15" t="s">
        <v>55</v>
      </c>
      <c r="S43" t="s">
        <v>55</v>
      </c>
      <c r="T43" s="20" t="s">
        <v>55</v>
      </c>
      <c r="U43" s="20" t="e">
        <f t="shared" si="1"/>
        <v>#VALUE!</v>
      </c>
      <c r="V43" s="20" t="e">
        <f t="shared" si="2"/>
        <v>#VALUE!</v>
      </c>
      <c r="W43" s="20" t="e">
        <f t="shared" si="3"/>
        <v>#VALUE!</v>
      </c>
      <c r="X43" s="20" t="e">
        <f t="shared" si="4"/>
        <v>#VALUE!</v>
      </c>
      <c r="Y43" s="20" t="e">
        <f t="shared" si="5"/>
        <v>#VALUE!</v>
      </c>
      <c r="Z43" s="20" t="e">
        <f t="shared" si="6"/>
        <v>#VALUE!</v>
      </c>
    </row>
    <row r="44" spans="1:26" ht="14.25" customHeight="1" x14ac:dyDescent="0.15">
      <c r="A44" s="4"/>
      <c r="B44" s="104"/>
      <c r="C44" s="22"/>
      <c r="D44" s="51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T44" s="20"/>
      <c r="U44" s="20"/>
      <c r="V44" s="20"/>
      <c r="W44" s="20"/>
      <c r="X44" s="20"/>
      <c r="Y44" s="20"/>
      <c r="Z44" s="20"/>
    </row>
    <row r="45" spans="1:26" ht="14.25" customHeight="1" x14ac:dyDescent="0.15">
      <c r="A45" s="55" t="s">
        <v>23</v>
      </c>
      <c r="B45" s="93">
        <v>45546</v>
      </c>
      <c r="C45" s="9">
        <v>0.79027777777777775</v>
      </c>
      <c r="D45" s="14">
        <v>15</v>
      </c>
      <c r="E45" s="16" t="s">
        <v>55</v>
      </c>
      <c r="F45" s="16" t="s">
        <v>55</v>
      </c>
      <c r="G45" s="16" t="s">
        <v>55</v>
      </c>
      <c r="H45" s="16" t="s">
        <v>55</v>
      </c>
      <c r="I45" s="16" t="s">
        <v>55</v>
      </c>
      <c r="J45" s="16" t="s">
        <v>55</v>
      </c>
      <c r="K45" s="16" t="s">
        <v>55</v>
      </c>
      <c r="L45" s="16" t="s">
        <v>55</v>
      </c>
      <c r="M45" s="16" t="s">
        <v>55</v>
      </c>
      <c r="N45" s="16" t="s">
        <v>55</v>
      </c>
      <c r="O45" s="16" t="s">
        <v>55</v>
      </c>
      <c r="P45" s="16" t="s">
        <v>55</v>
      </c>
      <c r="Q45" s="16" t="s">
        <v>55</v>
      </c>
      <c r="R45" s="16" t="s">
        <v>55</v>
      </c>
      <c r="S45" t="s">
        <v>55</v>
      </c>
      <c r="T45" s="20" t="s">
        <v>55</v>
      </c>
      <c r="U45" s="20" t="e">
        <f t="shared" si="1"/>
        <v>#VALUE!</v>
      </c>
      <c r="V45" s="20" t="e">
        <f t="shared" si="2"/>
        <v>#VALUE!</v>
      </c>
      <c r="W45" s="20" t="e">
        <f t="shared" si="3"/>
        <v>#VALUE!</v>
      </c>
      <c r="X45" s="20" t="e">
        <f t="shared" si="4"/>
        <v>#VALUE!</v>
      </c>
      <c r="Y45" s="20" t="e">
        <f t="shared" si="5"/>
        <v>#VALUE!</v>
      </c>
      <c r="Z45" s="20" t="e">
        <f t="shared" si="6"/>
        <v>#VALUE!</v>
      </c>
    </row>
    <row r="46" spans="1:26" ht="14.25" customHeight="1" x14ac:dyDescent="0.15">
      <c r="A46" s="56" t="s">
        <v>24</v>
      </c>
      <c r="B46" s="93">
        <v>45546</v>
      </c>
      <c r="C46" s="11">
        <v>0.79236111111111107</v>
      </c>
      <c r="D46" s="12">
        <v>15</v>
      </c>
      <c r="E46" s="15" t="s">
        <v>55</v>
      </c>
      <c r="F46" s="15" t="s">
        <v>55</v>
      </c>
      <c r="G46" s="15" t="s">
        <v>55</v>
      </c>
      <c r="H46" s="15" t="s">
        <v>55</v>
      </c>
      <c r="I46" s="15" t="s">
        <v>55</v>
      </c>
      <c r="J46" s="15" t="s">
        <v>55</v>
      </c>
      <c r="K46" s="15" t="s">
        <v>55</v>
      </c>
      <c r="L46" s="15" t="s">
        <v>55</v>
      </c>
      <c r="M46" s="15" t="s">
        <v>55</v>
      </c>
      <c r="N46" s="15" t="s">
        <v>55</v>
      </c>
      <c r="O46" s="15" t="s">
        <v>55</v>
      </c>
      <c r="P46" s="15" t="s">
        <v>55</v>
      </c>
      <c r="Q46" s="15" t="s">
        <v>55</v>
      </c>
      <c r="R46" s="15" t="s">
        <v>55</v>
      </c>
      <c r="S46" t="s">
        <v>55</v>
      </c>
      <c r="T46" s="20" t="s">
        <v>55</v>
      </c>
      <c r="U46" s="20" t="e">
        <f t="shared" si="1"/>
        <v>#VALUE!</v>
      </c>
      <c r="V46" s="20" t="e">
        <f t="shared" si="2"/>
        <v>#VALUE!</v>
      </c>
      <c r="W46" s="20" t="e">
        <f t="shared" si="3"/>
        <v>#VALUE!</v>
      </c>
      <c r="X46" s="20" t="e">
        <f t="shared" si="4"/>
        <v>#VALUE!</v>
      </c>
      <c r="Y46" s="20" t="e">
        <f t="shared" si="5"/>
        <v>#VALUE!</v>
      </c>
      <c r="Z46" s="20" t="e">
        <f t="shared" si="6"/>
        <v>#VALUE!</v>
      </c>
    </row>
    <row r="47" spans="1:26" ht="14.25" customHeight="1" x14ac:dyDescent="0.15">
      <c r="A47" s="74" t="s">
        <v>31</v>
      </c>
      <c r="B47" s="93">
        <v>45546</v>
      </c>
      <c r="C47" s="11">
        <v>0.82777777777777783</v>
      </c>
      <c r="D47" s="12">
        <v>15</v>
      </c>
      <c r="E47" s="15" t="s">
        <v>55</v>
      </c>
      <c r="F47" s="15" t="s">
        <v>55</v>
      </c>
      <c r="G47" s="15" t="s">
        <v>55</v>
      </c>
      <c r="H47" s="15" t="s">
        <v>55</v>
      </c>
      <c r="I47" s="15" t="s">
        <v>55</v>
      </c>
      <c r="J47" s="15" t="s">
        <v>55</v>
      </c>
      <c r="K47" s="15" t="s">
        <v>55</v>
      </c>
      <c r="L47" s="15" t="s">
        <v>55</v>
      </c>
      <c r="M47" s="15" t="s">
        <v>55</v>
      </c>
      <c r="N47" s="15" t="s">
        <v>55</v>
      </c>
      <c r="O47" s="15" t="s">
        <v>55</v>
      </c>
      <c r="P47" s="15" t="s">
        <v>55</v>
      </c>
      <c r="Q47" s="15" t="s">
        <v>55</v>
      </c>
      <c r="R47" s="15" t="s">
        <v>55</v>
      </c>
      <c r="S47" t="s">
        <v>55</v>
      </c>
      <c r="T47" s="20" t="s">
        <v>55</v>
      </c>
      <c r="U47" s="20" t="e">
        <f t="shared" ref="U47:Z47" si="15">M47-$T47</f>
        <v>#VALUE!</v>
      </c>
      <c r="V47" s="20" t="e">
        <f t="shared" si="15"/>
        <v>#VALUE!</v>
      </c>
      <c r="W47" s="20" t="e">
        <f t="shared" si="15"/>
        <v>#VALUE!</v>
      </c>
      <c r="X47" s="20" t="e">
        <f t="shared" si="15"/>
        <v>#VALUE!</v>
      </c>
      <c r="Y47" s="20" t="e">
        <f t="shared" si="15"/>
        <v>#VALUE!</v>
      </c>
      <c r="Z47" s="20" t="e">
        <f t="shared" si="15"/>
        <v>#VALUE!</v>
      </c>
    </row>
    <row r="48" spans="1:26" ht="14.25" customHeight="1" x14ac:dyDescent="0.15">
      <c r="A48" s="74" t="s">
        <v>32</v>
      </c>
      <c r="B48" s="93">
        <v>45546</v>
      </c>
      <c r="C48" s="11">
        <v>0.7944444444444444</v>
      </c>
      <c r="D48" s="12">
        <v>15</v>
      </c>
      <c r="E48" s="15" t="s">
        <v>55</v>
      </c>
      <c r="F48" s="15" t="s">
        <v>55</v>
      </c>
      <c r="G48" s="15" t="s">
        <v>55</v>
      </c>
      <c r="H48" s="15" t="s">
        <v>55</v>
      </c>
      <c r="I48" s="15" t="s">
        <v>55</v>
      </c>
      <c r="J48" s="15" t="s">
        <v>55</v>
      </c>
      <c r="K48" s="15" t="s">
        <v>55</v>
      </c>
      <c r="L48" s="15" t="s">
        <v>55</v>
      </c>
      <c r="M48" s="15" t="s">
        <v>55</v>
      </c>
      <c r="N48" s="15" t="s">
        <v>55</v>
      </c>
      <c r="O48" s="15" t="s">
        <v>55</v>
      </c>
      <c r="P48" s="15" t="s">
        <v>55</v>
      </c>
      <c r="Q48" s="15" t="s">
        <v>55</v>
      </c>
      <c r="R48" s="15" t="s">
        <v>55</v>
      </c>
      <c r="S48" t="s">
        <v>55</v>
      </c>
      <c r="T48" s="20" t="s">
        <v>55</v>
      </c>
      <c r="U48" s="20" t="e">
        <f t="shared" si="1"/>
        <v>#VALUE!</v>
      </c>
      <c r="V48" s="20" t="e">
        <f t="shared" si="2"/>
        <v>#VALUE!</v>
      </c>
      <c r="W48" s="20" t="e">
        <f t="shared" si="3"/>
        <v>#VALUE!</v>
      </c>
      <c r="X48" s="20" t="e">
        <f t="shared" si="4"/>
        <v>#VALUE!</v>
      </c>
      <c r="Y48" s="20" t="e">
        <f t="shared" si="5"/>
        <v>#VALUE!</v>
      </c>
      <c r="Z48" s="20" t="e">
        <f t="shared" si="6"/>
        <v>#VALUE!</v>
      </c>
    </row>
    <row r="49" spans="1:26" ht="14.25" customHeight="1" x14ac:dyDescent="0.15">
      <c r="A49" s="74" t="s">
        <v>33</v>
      </c>
      <c r="B49" s="93">
        <v>45546</v>
      </c>
      <c r="C49" s="11">
        <v>0.79652777777777783</v>
      </c>
      <c r="D49" s="12">
        <v>15</v>
      </c>
      <c r="E49" s="15" t="s">
        <v>55</v>
      </c>
      <c r="F49" s="15" t="s">
        <v>55</v>
      </c>
      <c r="G49" s="15" t="s">
        <v>55</v>
      </c>
      <c r="H49" s="15" t="s">
        <v>55</v>
      </c>
      <c r="I49" s="15" t="s">
        <v>55</v>
      </c>
      <c r="J49" s="15" t="s">
        <v>55</v>
      </c>
      <c r="K49" s="15" t="s">
        <v>55</v>
      </c>
      <c r="L49" s="15" t="s">
        <v>55</v>
      </c>
      <c r="M49" s="15" t="s">
        <v>55</v>
      </c>
      <c r="N49" s="15" t="s">
        <v>55</v>
      </c>
      <c r="O49" s="15" t="s">
        <v>55</v>
      </c>
      <c r="P49" s="15" t="s">
        <v>55</v>
      </c>
      <c r="Q49" s="15" t="s">
        <v>55</v>
      </c>
      <c r="R49" s="15" t="s">
        <v>55</v>
      </c>
      <c r="S49" t="s">
        <v>55</v>
      </c>
      <c r="T49" s="20" t="s">
        <v>55</v>
      </c>
      <c r="U49" s="20" t="e">
        <f t="shared" si="1"/>
        <v>#VALUE!</v>
      </c>
      <c r="V49" s="20" t="e">
        <f t="shared" si="2"/>
        <v>#VALUE!</v>
      </c>
      <c r="W49" s="20" t="e">
        <f t="shared" si="3"/>
        <v>#VALUE!</v>
      </c>
      <c r="X49" s="20" t="e">
        <f t="shared" si="4"/>
        <v>#VALUE!</v>
      </c>
      <c r="Y49" s="20" t="e">
        <f t="shared" si="5"/>
        <v>#VALUE!</v>
      </c>
      <c r="Z49" s="20" t="e">
        <f t="shared" si="6"/>
        <v>#VALUE!</v>
      </c>
    </row>
    <row r="50" spans="1:26" ht="14.25" customHeight="1" x14ac:dyDescent="0.15">
      <c r="A50" s="4"/>
      <c r="B50" s="104"/>
      <c r="C50" s="22"/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T50" s="20"/>
      <c r="U50" s="20"/>
      <c r="V50" s="20"/>
      <c r="W50" s="20"/>
      <c r="X50" s="20"/>
      <c r="Y50" s="20"/>
      <c r="Z50" s="20"/>
    </row>
    <row r="51" spans="1:26" ht="14.25" customHeight="1" x14ac:dyDescent="0.15">
      <c r="A51" s="55" t="s">
        <v>23</v>
      </c>
      <c r="B51" s="93">
        <v>45546</v>
      </c>
      <c r="C51" s="9">
        <v>0.39583333333333331</v>
      </c>
      <c r="D51" s="10">
        <v>10</v>
      </c>
      <c r="E51" s="17" t="s">
        <v>55</v>
      </c>
      <c r="F51" s="16" t="s">
        <v>55</v>
      </c>
      <c r="G51" s="16" t="s">
        <v>55</v>
      </c>
      <c r="H51" s="16" t="s">
        <v>55</v>
      </c>
      <c r="I51" s="16" t="s">
        <v>55</v>
      </c>
      <c r="J51" s="16" t="s">
        <v>55</v>
      </c>
      <c r="K51" s="16" t="s">
        <v>55</v>
      </c>
      <c r="L51" s="16" t="s">
        <v>55</v>
      </c>
      <c r="M51" s="16" t="s">
        <v>55</v>
      </c>
      <c r="N51" s="16" t="s">
        <v>55</v>
      </c>
      <c r="O51" s="16" t="s">
        <v>55</v>
      </c>
      <c r="P51" s="16" t="s">
        <v>55</v>
      </c>
      <c r="Q51" s="16" t="s">
        <v>55</v>
      </c>
      <c r="R51" s="16" t="s">
        <v>55</v>
      </c>
      <c r="S51" t="s">
        <v>55</v>
      </c>
      <c r="T51" s="20" t="s">
        <v>55</v>
      </c>
      <c r="U51" s="20" t="e">
        <f t="shared" si="1"/>
        <v>#VALUE!</v>
      </c>
      <c r="V51" s="20" t="e">
        <f t="shared" si="2"/>
        <v>#VALUE!</v>
      </c>
      <c r="W51" s="20" t="e">
        <f t="shared" si="3"/>
        <v>#VALUE!</v>
      </c>
      <c r="X51" s="20" t="e">
        <f t="shared" si="4"/>
        <v>#VALUE!</v>
      </c>
      <c r="Y51" s="20" t="e">
        <f t="shared" si="5"/>
        <v>#VALUE!</v>
      </c>
      <c r="Z51" s="20" t="e">
        <f t="shared" si="6"/>
        <v>#VALUE!</v>
      </c>
    </row>
    <row r="52" spans="1:26" x14ac:dyDescent="0.15">
      <c r="A52" s="56" t="s">
        <v>24</v>
      </c>
      <c r="B52" s="93">
        <v>45546</v>
      </c>
      <c r="C52" s="11">
        <v>0.3979166666666667</v>
      </c>
      <c r="D52" s="12">
        <v>10</v>
      </c>
      <c r="E52" s="15" t="s">
        <v>55</v>
      </c>
      <c r="F52" s="15" t="s">
        <v>55</v>
      </c>
      <c r="G52" s="15" t="s">
        <v>55</v>
      </c>
      <c r="H52" s="15" t="s">
        <v>55</v>
      </c>
      <c r="I52" s="15" t="s">
        <v>55</v>
      </c>
      <c r="J52" s="15" t="s">
        <v>55</v>
      </c>
      <c r="K52" s="15" t="s">
        <v>55</v>
      </c>
      <c r="L52" s="15" t="s">
        <v>55</v>
      </c>
      <c r="M52" s="15" t="s">
        <v>55</v>
      </c>
      <c r="N52" s="15" t="s">
        <v>55</v>
      </c>
      <c r="O52" s="15" t="s">
        <v>55</v>
      </c>
      <c r="P52" s="15" t="s">
        <v>55</v>
      </c>
      <c r="Q52" s="15" t="s">
        <v>55</v>
      </c>
      <c r="R52" s="15" t="s">
        <v>55</v>
      </c>
      <c r="S52" t="s">
        <v>55</v>
      </c>
      <c r="T52" s="20" t="s">
        <v>55</v>
      </c>
      <c r="U52" s="20" t="e">
        <f t="shared" si="1"/>
        <v>#VALUE!</v>
      </c>
      <c r="V52" s="20" t="e">
        <f t="shared" si="2"/>
        <v>#VALUE!</v>
      </c>
      <c r="W52" s="20" t="e">
        <f t="shared" si="3"/>
        <v>#VALUE!</v>
      </c>
      <c r="X52" s="20" t="e">
        <f t="shared" si="4"/>
        <v>#VALUE!</v>
      </c>
      <c r="Y52" s="20" t="e">
        <f t="shared" si="5"/>
        <v>#VALUE!</v>
      </c>
      <c r="Z52" s="20" t="e">
        <f t="shared" si="6"/>
        <v>#VALUE!</v>
      </c>
    </row>
    <row r="53" spans="1:26" x14ac:dyDescent="0.15">
      <c r="A53" s="74" t="s">
        <v>31</v>
      </c>
      <c r="B53" s="93">
        <v>45546</v>
      </c>
      <c r="C53" s="11">
        <v>0.39999999999999997</v>
      </c>
      <c r="D53" s="12">
        <v>10</v>
      </c>
      <c r="E53" s="15" t="s">
        <v>55</v>
      </c>
      <c r="F53" s="15" t="s">
        <v>55</v>
      </c>
      <c r="G53" s="15" t="s">
        <v>55</v>
      </c>
      <c r="H53" s="15" t="s">
        <v>55</v>
      </c>
      <c r="I53" s="15" t="s">
        <v>55</v>
      </c>
      <c r="J53" s="15" t="s">
        <v>55</v>
      </c>
      <c r="K53" s="15" t="s">
        <v>55</v>
      </c>
      <c r="L53" s="15" t="s">
        <v>55</v>
      </c>
      <c r="M53" s="15" t="s">
        <v>55</v>
      </c>
      <c r="N53" s="15" t="s">
        <v>55</v>
      </c>
      <c r="O53" s="15" t="s">
        <v>55</v>
      </c>
      <c r="P53" s="15" t="s">
        <v>55</v>
      </c>
      <c r="Q53" s="15" t="s">
        <v>55</v>
      </c>
      <c r="R53" s="15" t="s">
        <v>55</v>
      </c>
      <c r="S53" t="s">
        <v>55</v>
      </c>
      <c r="T53" s="20" t="s">
        <v>55</v>
      </c>
      <c r="U53" s="20" t="e">
        <f t="shared" ref="U53:Z53" si="16">M53-$T53</f>
        <v>#VALUE!</v>
      </c>
      <c r="V53" s="20" t="e">
        <f t="shared" si="16"/>
        <v>#VALUE!</v>
      </c>
      <c r="W53" s="20" t="e">
        <f t="shared" si="16"/>
        <v>#VALUE!</v>
      </c>
      <c r="X53" s="20" t="e">
        <f t="shared" si="16"/>
        <v>#VALUE!</v>
      </c>
      <c r="Y53" s="20" t="e">
        <f t="shared" si="16"/>
        <v>#VALUE!</v>
      </c>
      <c r="Z53" s="20" t="e">
        <f t="shared" si="16"/>
        <v>#VALUE!</v>
      </c>
    </row>
    <row r="54" spans="1:26" x14ac:dyDescent="0.15">
      <c r="A54" s="74" t="s">
        <v>32</v>
      </c>
      <c r="B54" s="93">
        <v>45546</v>
      </c>
      <c r="C54" s="11">
        <v>0.40208333333333335</v>
      </c>
      <c r="D54" s="12">
        <v>10</v>
      </c>
      <c r="E54" s="15" t="s">
        <v>55</v>
      </c>
      <c r="F54" s="15" t="s">
        <v>55</v>
      </c>
      <c r="G54" s="15" t="s">
        <v>55</v>
      </c>
      <c r="H54" s="15" t="s">
        <v>55</v>
      </c>
      <c r="I54" s="15" t="s">
        <v>55</v>
      </c>
      <c r="J54" s="15" t="s">
        <v>55</v>
      </c>
      <c r="K54" s="15" t="s">
        <v>55</v>
      </c>
      <c r="L54" s="15" t="s">
        <v>55</v>
      </c>
      <c r="M54" s="15" t="s">
        <v>55</v>
      </c>
      <c r="N54" s="15" t="s">
        <v>55</v>
      </c>
      <c r="O54" s="15" t="s">
        <v>55</v>
      </c>
      <c r="P54" s="15" t="s">
        <v>55</v>
      </c>
      <c r="Q54" s="15" t="s">
        <v>55</v>
      </c>
      <c r="R54" s="15" t="s">
        <v>55</v>
      </c>
      <c r="S54" t="s">
        <v>55</v>
      </c>
      <c r="T54" s="20" t="s">
        <v>55</v>
      </c>
      <c r="U54" s="20" t="e">
        <f t="shared" si="1"/>
        <v>#VALUE!</v>
      </c>
      <c r="V54" s="20" t="e">
        <f t="shared" si="2"/>
        <v>#VALUE!</v>
      </c>
      <c r="W54" s="20" t="e">
        <f t="shared" si="3"/>
        <v>#VALUE!</v>
      </c>
      <c r="X54" s="20" t="e">
        <f t="shared" si="4"/>
        <v>#VALUE!</v>
      </c>
      <c r="Y54" s="20" t="e">
        <f t="shared" si="5"/>
        <v>#VALUE!</v>
      </c>
      <c r="Z54" s="20" t="e">
        <f t="shared" si="6"/>
        <v>#VALUE!</v>
      </c>
    </row>
    <row r="55" spans="1:26" x14ac:dyDescent="0.15">
      <c r="A55" s="74" t="s">
        <v>33</v>
      </c>
      <c r="B55" s="93">
        <v>45546</v>
      </c>
      <c r="C55" s="11">
        <v>0.40416666666666662</v>
      </c>
      <c r="D55" s="12">
        <v>10</v>
      </c>
      <c r="E55" s="15" t="s">
        <v>55</v>
      </c>
      <c r="F55" s="15" t="s">
        <v>55</v>
      </c>
      <c r="G55" s="15" t="s">
        <v>55</v>
      </c>
      <c r="H55" s="15" t="s">
        <v>55</v>
      </c>
      <c r="I55" s="15" t="s">
        <v>55</v>
      </c>
      <c r="J55" s="15" t="s">
        <v>55</v>
      </c>
      <c r="K55" s="15" t="s">
        <v>55</v>
      </c>
      <c r="L55" s="15" t="s">
        <v>55</v>
      </c>
      <c r="M55" s="15" t="s">
        <v>55</v>
      </c>
      <c r="N55" s="15" t="s">
        <v>55</v>
      </c>
      <c r="O55" s="15" t="s">
        <v>55</v>
      </c>
      <c r="P55" s="15" t="s">
        <v>55</v>
      </c>
      <c r="Q55" s="15" t="s">
        <v>55</v>
      </c>
      <c r="R55" s="15" t="s">
        <v>55</v>
      </c>
      <c r="S55" t="s">
        <v>55</v>
      </c>
      <c r="T55" s="20" t="s">
        <v>55</v>
      </c>
      <c r="U55" s="20" t="e">
        <f t="shared" si="1"/>
        <v>#VALUE!</v>
      </c>
      <c r="V55" s="20" t="e">
        <f t="shared" si="2"/>
        <v>#VALUE!</v>
      </c>
      <c r="W55" s="20" t="e">
        <f t="shared" si="3"/>
        <v>#VALUE!</v>
      </c>
      <c r="X55" s="20" t="e">
        <f t="shared" si="4"/>
        <v>#VALUE!</v>
      </c>
      <c r="Y55" s="20" t="e">
        <f t="shared" si="5"/>
        <v>#VALUE!</v>
      </c>
      <c r="Z55" s="20" t="e">
        <f t="shared" si="6"/>
        <v>#VALUE!</v>
      </c>
    </row>
    <row r="56" spans="1:26" x14ac:dyDescent="0.15">
      <c r="A56" s="56"/>
      <c r="B56" s="102"/>
      <c r="C56" s="11"/>
      <c r="D56" s="12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T56" s="20"/>
      <c r="U56" s="20"/>
      <c r="V56" s="20"/>
      <c r="W56" s="20"/>
      <c r="X56" s="20"/>
      <c r="Y56" s="20"/>
      <c r="Z56" s="20"/>
    </row>
    <row r="57" spans="1:26" x14ac:dyDescent="0.15">
      <c r="A57" s="55" t="s">
        <v>23</v>
      </c>
      <c r="B57" s="93">
        <v>45547</v>
      </c>
      <c r="C57" s="9">
        <v>0.44166666666666665</v>
      </c>
      <c r="D57" s="10">
        <v>5</v>
      </c>
      <c r="E57" s="16" t="s">
        <v>55</v>
      </c>
      <c r="F57" s="16" t="s">
        <v>55</v>
      </c>
      <c r="G57" s="16" t="s">
        <v>55</v>
      </c>
      <c r="H57" s="16" t="s">
        <v>55</v>
      </c>
      <c r="I57" s="16" t="s">
        <v>55</v>
      </c>
      <c r="J57" s="16" t="s">
        <v>55</v>
      </c>
      <c r="K57" s="16" t="s">
        <v>55</v>
      </c>
      <c r="L57" s="16" t="s">
        <v>55</v>
      </c>
      <c r="M57" s="16" t="s">
        <v>55</v>
      </c>
      <c r="N57" s="16" t="s">
        <v>55</v>
      </c>
      <c r="O57" s="16" t="s">
        <v>55</v>
      </c>
      <c r="P57" s="16" t="s">
        <v>55</v>
      </c>
      <c r="Q57" s="16" t="s">
        <v>55</v>
      </c>
      <c r="R57" s="16" t="s">
        <v>55</v>
      </c>
      <c r="S57" t="s">
        <v>55</v>
      </c>
      <c r="T57" s="20" t="s">
        <v>55</v>
      </c>
      <c r="U57" s="20" t="e">
        <f t="shared" si="1"/>
        <v>#VALUE!</v>
      </c>
      <c r="V57" s="20" t="e">
        <f t="shared" si="2"/>
        <v>#VALUE!</v>
      </c>
      <c r="W57" s="20" t="e">
        <f t="shared" si="3"/>
        <v>#VALUE!</v>
      </c>
      <c r="X57" s="20" t="e">
        <f t="shared" si="4"/>
        <v>#VALUE!</v>
      </c>
      <c r="Y57" s="20" t="e">
        <f t="shared" si="5"/>
        <v>#VALUE!</v>
      </c>
      <c r="Z57" s="20" t="e">
        <f t="shared" si="6"/>
        <v>#VALUE!</v>
      </c>
    </row>
    <row r="58" spans="1:26" x14ac:dyDescent="0.15">
      <c r="A58" s="56" t="s">
        <v>24</v>
      </c>
      <c r="B58" s="93">
        <v>45547</v>
      </c>
      <c r="C58" s="11">
        <v>0.44375000000000003</v>
      </c>
      <c r="D58" s="12">
        <v>5</v>
      </c>
      <c r="E58" s="15" t="s">
        <v>55</v>
      </c>
      <c r="F58" s="15" t="s">
        <v>55</v>
      </c>
      <c r="G58" s="15" t="s">
        <v>55</v>
      </c>
      <c r="H58" s="15" t="s">
        <v>55</v>
      </c>
      <c r="I58" s="15" t="s">
        <v>55</v>
      </c>
      <c r="J58" s="15" t="s">
        <v>55</v>
      </c>
      <c r="K58" s="15" t="s">
        <v>55</v>
      </c>
      <c r="L58" s="15" t="s">
        <v>55</v>
      </c>
      <c r="M58" s="15" t="s">
        <v>55</v>
      </c>
      <c r="N58" s="15" t="s">
        <v>55</v>
      </c>
      <c r="O58" s="15" t="s">
        <v>55</v>
      </c>
      <c r="P58" s="15" t="s">
        <v>55</v>
      </c>
      <c r="Q58" s="15" t="s">
        <v>55</v>
      </c>
      <c r="R58" s="15" t="s">
        <v>55</v>
      </c>
      <c r="S58" t="s">
        <v>55</v>
      </c>
      <c r="T58" s="20" t="s">
        <v>55</v>
      </c>
      <c r="U58" s="20" t="e">
        <f t="shared" si="1"/>
        <v>#VALUE!</v>
      </c>
      <c r="V58" s="20" t="e">
        <f t="shared" si="2"/>
        <v>#VALUE!</v>
      </c>
      <c r="W58" s="20" t="e">
        <f t="shared" si="3"/>
        <v>#VALUE!</v>
      </c>
      <c r="X58" s="20" t="e">
        <f t="shared" si="4"/>
        <v>#VALUE!</v>
      </c>
      <c r="Y58" s="20" t="e">
        <f t="shared" si="5"/>
        <v>#VALUE!</v>
      </c>
      <c r="Z58" s="20" t="e">
        <f t="shared" si="6"/>
        <v>#VALUE!</v>
      </c>
    </row>
    <row r="59" spans="1:26" x14ac:dyDescent="0.15">
      <c r="A59" s="74" t="s">
        <v>31</v>
      </c>
      <c r="B59" s="93">
        <v>45547</v>
      </c>
      <c r="C59" s="11">
        <v>0.4458333333333333</v>
      </c>
      <c r="D59" s="12">
        <v>5</v>
      </c>
      <c r="E59" s="15" t="s">
        <v>55</v>
      </c>
      <c r="F59" s="15" t="s">
        <v>55</v>
      </c>
      <c r="G59" s="15" t="s">
        <v>55</v>
      </c>
      <c r="H59" s="15" t="s">
        <v>55</v>
      </c>
      <c r="I59" s="15" t="s">
        <v>55</v>
      </c>
      <c r="J59" s="15" t="s">
        <v>55</v>
      </c>
      <c r="K59" s="15" t="s">
        <v>55</v>
      </c>
      <c r="L59" s="15" t="s">
        <v>55</v>
      </c>
      <c r="M59" s="15" t="s">
        <v>55</v>
      </c>
      <c r="N59" s="15" t="s">
        <v>55</v>
      </c>
      <c r="O59" s="15" t="s">
        <v>55</v>
      </c>
      <c r="P59" s="15" t="s">
        <v>55</v>
      </c>
      <c r="Q59" s="15" t="s">
        <v>55</v>
      </c>
      <c r="R59" s="15" t="s">
        <v>55</v>
      </c>
      <c r="S59" t="s">
        <v>55</v>
      </c>
      <c r="T59" s="20" t="s">
        <v>55</v>
      </c>
      <c r="U59" s="20" t="e">
        <f t="shared" ref="U59:Z59" si="17">M59-$T59</f>
        <v>#VALUE!</v>
      </c>
      <c r="V59" s="20" t="e">
        <f t="shared" si="17"/>
        <v>#VALUE!</v>
      </c>
      <c r="W59" s="20" t="e">
        <f t="shared" si="17"/>
        <v>#VALUE!</v>
      </c>
      <c r="X59" s="20" t="e">
        <f t="shared" si="17"/>
        <v>#VALUE!</v>
      </c>
      <c r="Y59" s="20" t="e">
        <f t="shared" si="17"/>
        <v>#VALUE!</v>
      </c>
      <c r="Z59" s="20" t="e">
        <f t="shared" si="17"/>
        <v>#VALUE!</v>
      </c>
    </row>
    <row r="60" spans="1:26" x14ac:dyDescent="0.15">
      <c r="A60" s="74" t="s">
        <v>32</v>
      </c>
      <c r="B60" s="93">
        <v>45547</v>
      </c>
      <c r="C60" s="11">
        <v>0.44791666666666669</v>
      </c>
      <c r="D60" s="12">
        <v>5</v>
      </c>
      <c r="E60" s="15" t="s">
        <v>55</v>
      </c>
      <c r="F60" s="15" t="s">
        <v>55</v>
      </c>
      <c r="G60" s="15" t="s">
        <v>55</v>
      </c>
      <c r="H60" s="15" t="s">
        <v>55</v>
      </c>
      <c r="I60" s="15" t="s">
        <v>55</v>
      </c>
      <c r="J60" s="15" t="s">
        <v>55</v>
      </c>
      <c r="K60" s="15" t="s">
        <v>55</v>
      </c>
      <c r="L60" s="15" t="s">
        <v>55</v>
      </c>
      <c r="M60" s="15" t="s">
        <v>55</v>
      </c>
      <c r="N60" s="15" t="s">
        <v>55</v>
      </c>
      <c r="O60" s="15" t="s">
        <v>55</v>
      </c>
      <c r="P60" s="15" t="s">
        <v>55</v>
      </c>
      <c r="Q60" s="15" t="s">
        <v>55</v>
      </c>
      <c r="R60" s="15" t="s">
        <v>55</v>
      </c>
      <c r="S60" t="s">
        <v>55</v>
      </c>
      <c r="T60" s="20" t="s">
        <v>55</v>
      </c>
      <c r="U60" s="20" t="e">
        <f t="shared" si="1"/>
        <v>#VALUE!</v>
      </c>
      <c r="V60" s="20" t="e">
        <f t="shared" si="2"/>
        <v>#VALUE!</v>
      </c>
      <c r="W60" s="20" t="e">
        <f t="shared" si="3"/>
        <v>#VALUE!</v>
      </c>
      <c r="X60" s="20" t="e">
        <f t="shared" si="4"/>
        <v>#VALUE!</v>
      </c>
      <c r="Y60" s="20" t="e">
        <f t="shared" si="5"/>
        <v>#VALUE!</v>
      </c>
      <c r="Z60" s="20" t="e">
        <f t="shared" si="6"/>
        <v>#VALUE!</v>
      </c>
    </row>
    <row r="61" spans="1:26" x14ac:dyDescent="0.15">
      <c r="A61" s="74" t="s">
        <v>33</v>
      </c>
      <c r="B61" s="93">
        <v>45547</v>
      </c>
      <c r="C61" s="11">
        <v>0.45208333333333334</v>
      </c>
      <c r="D61" s="12">
        <v>5</v>
      </c>
      <c r="E61" s="15" t="s">
        <v>55</v>
      </c>
      <c r="F61" s="15" t="s">
        <v>55</v>
      </c>
      <c r="G61" s="15" t="s">
        <v>55</v>
      </c>
      <c r="H61" s="15" t="s">
        <v>55</v>
      </c>
      <c r="I61" s="15" t="s">
        <v>55</v>
      </c>
      <c r="J61" s="15" t="s">
        <v>55</v>
      </c>
      <c r="K61" s="15" t="s">
        <v>55</v>
      </c>
      <c r="L61" s="15" t="s">
        <v>55</v>
      </c>
      <c r="M61" s="15" t="s">
        <v>55</v>
      </c>
      <c r="N61" s="15" t="s">
        <v>55</v>
      </c>
      <c r="O61" s="15" t="s">
        <v>55</v>
      </c>
      <c r="P61" s="15" t="s">
        <v>55</v>
      </c>
      <c r="Q61" s="15" t="s">
        <v>55</v>
      </c>
      <c r="R61" s="15" t="s">
        <v>55</v>
      </c>
      <c r="S61" t="s">
        <v>55</v>
      </c>
      <c r="T61" s="20" t="s">
        <v>55</v>
      </c>
      <c r="U61" s="20" t="e">
        <f t="shared" si="1"/>
        <v>#VALUE!</v>
      </c>
      <c r="V61" s="20" t="e">
        <f t="shared" si="2"/>
        <v>#VALUE!</v>
      </c>
      <c r="W61" s="20" t="e">
        <f t="shared" si="3"/>
        <v>#VALUE!</v>
      </c>
      <c r="X61" s="20" t="e">
        <f t="shared" si="4"/>
        <v>#VALUE!</v>
      </c>
      <c r="Y61" s="20" t="e">
        <f t="shared" si="5"/>
        <v>#VALUE!</v>
      </c>
      <c r="Z61" s="20" t="e">
        <f t="shared" si="6"/>
        <v>#VALUE!</v>
      </c>
    </row>
    <row r="62" spans="1:26" x14ac:dyDescent="0.15">
      <c r="A62" s="4"/>
      <c r="B62" s="104"/>
      <c r="C62" s="22"/>
      <c r="D62" s="48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T62" s="20"/>
      <c r="U62" s="20"/>
      <c r="V62" s="20"/>
      <c r="W62" s="20"/>
      <c r="X62" s="20"/>
      <c r="Y62" s="20"/>
      <c r="Z62" s="20"/>
    </row>
    <row r="63" spans="1:26" ht="14.25" customHeight="1" x14ac:dyDescent="0.15">
      <c r="A63" s="55" t="s">
        <v>23</v>
      </c>
      <c r="B63" s="93">
        <v>45547</v>
      </c>
      <c r="C63" s="9">
        <v>0.5</v>
      </c>
      <c r="D63" s="10">
        <v>0</v>
      </c>
      <c r="E63" s="17" t="s">
        <v>55</v>
      </c>
      <c r="F63" s="16" t="s">
        <v>55</v>
      </c>
      <c r="G63" s="16" t="s">
        <v>55</v>
      </c>
      <c r="H63" s="16" t="s">
        <v>55</v>
      </c>
      <c r="I63" s="16" t="s">
        <v>55</v>
      </c>
      <c r="J63" s="16" t="s">
        <v>55</v>
      </c>
      <c r="K63" s="16" t="s">
        <v>55</v>
      </c>
      <c r="L63" s="16" t="s">
        <v>55</v>
      </c>
      <c r="M63" s="16" t="s">
        <v>55</v>
      </c>
      <c r="N63" s="16" t="s">
        <v>55</v>
      </c>
      <c r="O63" s="16" t="s">
        <v>55</v>
      </c>
      <c r="P63" s="16" t="s">
        <v>55</v>
      </c>
      <c r="Q63" s="16" t="s">
        <v>55</v>
      </c>
      <c r="R63" s="16" t="s">
        <v>55</v>
      </c>
      <c r="S63" t="s">
        <v>55</v>
      </c>
      <c r="T63" s="20" t="s">
        <v>55</v>
      </c>
      <c r="U63" s="20" t="e">
        <f t="shared" si="1"/>
        <v>#VALUE!</v>
      </c>
      <c r="V63" s="20" t="e">
        <f t="shared" si="2"/>
        <v>#VALUE!</v>
      </c>
      <c r="W63" s="20" t="e">
        <f t="shared" si="3"/>
        <v>#VALUE!</v>
      </c>
      <c r="X63" s="20" t="e">
        <f t="shared" si="4"/>
        <v>#VALUE!</v>
      </c>
      <c r="Y63" s="20" t="e">
        <f t="shared" si="5"/>
        <v>#VALUE!</v>
      </c>
      <c r="Z63" s="20" t="e">
        <f t="shared" si="6"/>
        <v>#VALUE!</v>
      </c>
    </row>
    <row r="64" spans="1:26" ht="14.25" customHeight="1" x14ac:dyDescent="0.15">
      <c r="A64" s="56" t="s">
        <v>24</v>
      </c>
      <c r="B64" s="93">
        <v>45547</v>
      </c>
      <c r="C64" s="11">
        <v>0.50208333333333333</v>
      </c>
      <c r="D64" s="12">
        <v>0</v>
      </c>
      <c r="E64" s="15" t="s">
        <v>55</v>
      </c>
      <c r="F64" s="15" t="s">
        <v>55</v>
      </c>
      <c r="G64" s="15" t="s">
        <v>55</v>
      </c>
      <c r="H64" s="15" t="s">
        <v>55</v>
      </c>
      <c r="I64" s="15" t="s">
        <v>55</v>
      </c>
      <c r="J64" s="15" t="s">
        <v>55</v>
      </c>
      <c r="K64" s="15" t="s">
        <v>55</v>
      </c>
      <c r="L64" s="15" t="s">
        <v>55</v>
      </c>
      <c r="M64" s="15" t="s">
        <v>55</v>
      </c>
      <c r="N64" s="15" t="s">
        <v>55</v>
      </c>
      <c r="O64" s="15" t="s">
        <v>55</v>
      </c>
      <c r="P64" s="15" t="s">
        <v>55</v>
      </c>
      <c r="Q64" s="15" t="s">
        <v>55</v>
      </c>
      <c r="R64" s="15" t="s">
        <v>55</v>
      </c>
      <c r="S64" t="s">
        <v>55</v>
      </c>
      <c r="T64" s="20" t="s">
        <v>55</v>
      </c>
      <c r="U64" s="20" t="e">
        <f t="shared" si="1"/>
        <v>#VALUE!</v>
      </c>
      <c r="V64" s="20" t="e">
        <f t="shared" si="2"/>
        <v>#VALUE!</v>
      </c>
      <c r="W64" s="20" t="e">
        <f t="shared" si="3"/>
        <v>#VALUE!</v>
      </c>
      <c r="X64" s="20" t="e">
        <f t="shared" si="4"/>
        <v>#VALUE!</v>
      </c>
      <c r="Y64" s="20" t="e">
        <f t="shared" si="5"/>
        <v>#VALUE!</v>
      </c>
      <c r="Z64" s="20" t="e">
        <f t="shared" si="6"/>
        <v>#VALUE!</v>
      </c>
    </row>
    <row r="65" spans="1:26" ht="14.25" customHeight="1" x14ac:dyDescent="0.15">
      <c r="A65" s="74" t="s">
        <v>31</v>
      </c>
      <c r="B65" s="93">
        <v>45547</v>
      </c>
      <c r="C65" s="11">
        <v>0.50416666666666665</v>
      </c>
      <c r="D65" s="12">
        <v>0</v>
      </c>
      <c r="E65" s="15" t="s">
        <v>55</v>
      </c>
      <c r="F65" s="15" t="s">
        <v>55</v>
      </c>
      <c r="G65" s="15" t="s">
        <v>55</v>
      </c>
      <c r="H65" s="15" t="s">
        <v>55</v>
      </c>
      <c r="I65" s="15" t="s">
        <v>55</v>
      </c>
      <c r="J65" s="15" t="s">
        <v>55</v>
      </c>
      <c r="K65" s="15" t="s">
        <v>55</v>
      </c>
      <c r="L65" s="15" t="s">
        <v>55</v>
      </c>
      <c r="M65" s="15" t="s">
        <v>55</v>
      </c>
      <c r="N65" s="15" t="s">
        <v>55</v>
      </c>
      <c r="O65" s="15" t="s">
        <v>55</v>
      </c>
      <c r="P65" s="15" t="s">
        <v>55</v>
      </c>
      <c r="Q65" s="15" t="s">
        <v>55</v>
      </c>
      <c r="R65" s="15" t="s">
        <v>55</v>
      </c>
      <c r="S65" t="s">
        <v>55</v>
      </c>
      <c r="T65" s="20" t="s">
        <v>55</v>
      </c>
      <c r="U65" s="20" t="e">
        <f t="shared" ref="U65:Z65" si="18">M65-$T65</f>
        <v>#VALUE!</v>
      </c>
      <c r="V65" s="20" t="e">
        <f t="shared" si="18"/>
        <v>#VALUE!</v>
      </c>
      <c r="W65" s="20" t="e">
        <f t="shared" si="18"/>
        <v>#VALUE!</v>
      </c>
      <c r="X65" s="20" t="e">
        <f t="shared" si="18"/>
        <v>#VALUE!</v>
      </c>
      <c r="Y65" s="20" t="e">
        <f t="shared" si="18"/>
        <v>#VALUE!</v>
      </c>
      <c r="Z65" s="20" t="e">
        <f t="shared" si="18"/>
        <v>#VALUE!</v>
      </c>
    </row>
    <row r="66" spans="1:26" ht="14.25" customHeight="1" x14ac:dyDescent="0.15">
      <c r="A66" s="74" t="s">
        <v>32</v>
      </c>
      <c r="B66" s="93">
        <v>45547</v>
      </c>
      <c r="C66" s="11">
        <v>0.50624999999999998</v>
      </c>
      <c r="D66" s="12">
        <v>0</v>
      </c>
      <c r="E66" s="15" t="s">
        <v>55</v>
      </c>
      <c r="F66" s="15" t="s">
        <v>55</v>
      </c>
      <c r="G66" s="15" t="s">
        <v>55</v>
      </c>
      <c r="H66" s="15" t="s">
        <v>55</v>
      </c>
      <c r="I66" s="15" t="s">
        <v>55</v>
      </c>
      <c r="J66" s="15" t="s">
        <v>55</v>
      </c>
      <c r="K66" s="15" t="s">
        <v>55</v>
      </c>
      <c r="L66" s="15" t="s">
        <v>55</v>
      </c>
      <c r="M66" s="15" t="s">
        <v>55</v>
      </c>
      <c r="N66" s="15" t="s">
        <v>55</v>
      </c>
      <c r="O66" s="15" t="s">
        <v>55</v>
      </c>
      <c r="P66" s="15" t="s">
        <v>55</v>
      </c>
      <c r="Q66" s="15" t="s">
        <v>55</v>
      </c>
      <c r="R66" s="15" t="s">
        <v>55</v>
      </c>
      <c r="S66" t="s">
        <v>55</v>
      </c>
      <c r="T66" s="20" t="s">
        <v>55</v>
      </c>
      <c r="U66" s="20" t="e">
        <f t="shared" si="1"/>
        <v>#VALUE!</v>
      </c>
      <c r="V66" s="20" t="e">
        <f t="shared" si="2"/>
        <v>#VALUE!</v>
      </c>
      <c r="W66" s="20" t="e">
        <f t="shared" si="3"/>
        <v>#VALUE!</v>
      </c>
      <c r="X66" s="20" t="e">
        <f t="shared" si="4"/>
        <v>#VALUE!</v>
      </c>
      <c r="Y66" s="20" t="e">
        <f t="shared" si="5"/>
        <v>#VALUE!</v>
      </c>
      <c r="Z66" s="20" t="e">
        <f t="shared" si="6"/>
        <v>#VALUE!</v>
      </c>
    </row>
    <row r="67" spans="1:26" ht="14.25" customHeight="1" x14ac:dyDescent="0.15">
      <c r="A67" s="74" t="s">
        <v>33</v>
      </c>
      <c r="B67" s="93">
        <v>45547</v>
      </c>
      <c r="C67" s="11">
        <v>0.5083333333333333</v>
      </c>
      <c r="D67" s="12">
        <v>0</v>
      </c>
      <c r="E67" s="15" t="s">
        <v>55</v>
      </c>
      <c r="F67" s="15" t="s">
        <v>55</v>
      </c>
      <c r="G67" s="15" t="s">
        <v>55</v>
      </c>
      <c r="H67" s="15" t="s">
        <v>55</v>
      </c>
      <c r="I67" s="15" t="s">
        <v>55</v>
      </c>
      <c r="J67" s="15" t="s">
        <v>55</v>
      </c>
      <c r="K67" s="15" t="s">
        <v>55</v>
      </c>
      <c r="L67" s="15" t="s">
        <v>55</v>
      </c>
      <c r="M67" s="15" t="s">
        <v>55</v>
      </c>
      <c r="N67" s="15" t="s">
        <v>55</v>
      </c>
      <c r="O67" s="15" t="s">
        <v>55</v>
      </c>
      <c r="P67" s="15" t="s">
        <v>55</v>
      </c>
      <c r="Q67" s="15" t="s">
        <v>55</v>
      </c>
      <c r="R67" s="15" t="s">
        <v>55</v>
      </c>
      <c r="S67" t="s">
        <v>55</v>
      </c>
      <c r="T67" s="20" t="s">
        <v>55</v>
      </c>
      <c r="U67" s="20" t="e">
        <f t="shared" si="1"/>
        <v>#VALUE!</v>
      </c>
      <c r="V67" s="20" t="e">
        <f t="shared" si="2"/>
        <v>#VALUE!</v>
      </c>
      <c r="W67" s="20" t="e">
        <f t="shared" si="3"/>
        <v>#VALUE!</v>
      </c>
      <c r="X67" s="20" t="e">
        <f t="shared" si="4"/>
        <v>#VALUE!</v>
      </c>
      <c r="Y67" s="20" t="e">
        <f t="shared" si="5"/>
        <v>#VALUE!</v>
      </c>
      <c r="Z67" s="20" t="e">
        <f t="shared" si="6"/>
        <v>#VALUE!</v>
      </c>
    </row>
    <row r="68" spans="1:26" ht="14.25" customHeight="1" x14ac:dyDescent="0.15">
      <c r="A68" s="56"/>
      <c r="B68" s="102"/>
      <c r="C68" s="22"/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T68" s="20"/>
      <c r="U68" s="20"/>
      <c r="V68" s="20"/>
      <c r="W68" s="20"/>
      <c r="X68" s="20"/>
      <c r="Y68" s="20"/>
      <c r="Z68" s="20"/>
    </row>
    <row r="69" spans="1:26" ht="14.25" customHeight="1" x14ac:dyDescent="0.15">
      <c r="A69" s="55" t="s">
        <v>23</v>
      </c>
      <c r="B69" s="93">
        <v>45547</v>
      </c>
      <c r="C69" s="43">
        <v>0.58750000000000002</v>
      </c>
      <c r="D69" s="10">
        <v>-5</v>
      </c>
      <c r="E69" s="17" t="s">
        <v>55</v>
      </c>
      <c r="F69" s="16" t="s">
        <v>55</v>
      </c>
      <c r="G69" s="16" t="s">
        <v>55</v>
      </c>
      <c r="H69" s="16" t="s">
        <v>55</v>
      </c>
      <c r="I69" s="16" t="s">
        <v>55</v>
      </c>
      <c r="J69" s="16" t="s">
        <v>55</v>
      </c>
      <c r="K69" s="16" t="s">
        <v>55</v>
      </c>
      <c r="L69" s="16" t="s">
        <v>55</v>
      </c>
      <c r="M69" s="16" t="s">
        <v>55</v>
      </c>
      <c r="N69" s="16" t="s">
        <v>55</v>
      </c>
      <c r="O69" s="16" t="s">
        <v>55</v>
      </c>
      <c r="P69" s="16" t="s">
        <v>55</v>
      </c>
      <c r="Q69" s="16" t="s">
        <v>55</v>
      </c>
      <c r="R69" s="16" t="s">
        <v>55</v>
      </c>
      <c r="S69" t="s">
        <v>55</v>
      </c>
      <c r="T69" s="20" t="s">
        <v>55</v>
      </c>
      <c r="U69" s="20" t="e">
        <f t="shared" si="1"/>
        <v>#VALUE!</v>
      </c>
      <c r="V69" s="20" t="e">
        <f t="shared" si="2"/>
        <v>#VALUE!</v>
      </c>
      <c r="W69" s="20" t="e">
        <f t="shared" si="3"/>
        <v>#VALUE!</v>
      </c>
      <c r="X69" s="20" t="e">
        <f t="shared" si="4"/>
        <v>#VALUE!</v>
      </c>
      <c r="Y69" s="20" t="e">
        <f t="shared" si="5"/>
        <v>#VALUE!</v>
      </c>
      <c r="Z69" s="20" t="e">
        <f t="shared" si="6"/>
        <v>#VALUE!</v>
      </c>
    </row>
    <row r="70" spans="1:26" x14ac:dyDescent="0.15">
      <c r="A70" s="56" t="s">
        <v>24</v>
      </c>
      <c r="B70" s="93">
        <v>45547</v>
      </c>
      <c r="C70" s="11">
        <v>0.57430555555555551</v>
      </c>
      <c r="D70" s="12">
        <v>-5</v>
      </c>
      <c r="E70" s="15" t="s">
        <v>55</v>
      </c>
      <c r="F70" s="15" t="s">
        <v>55</v>
      </c>
      <c r="G70" s="15" t="s">
        <v>55</v>
      </c>
      <c r="H70" s="15" t="s">
        <v>55</v>
      </c>
      <c r="I70" s="15" t="s">
        <v>55</v>
      </c>
      <c r="J70" s="15" t="s">
        <v>55</v>
      </c>
      <c r="K70" s="15" t="s">
        <v>55</v>
      </c>
      <c r="L70" s="15" t="s">
        <v>55</v>
      </c>
      <c r="M70" s="15" t="s">
        <v>55</v>
      </c>
      <c r="N70" s="15" t="s">
        <v>55</v>
      </c>
      <c r="O70" s="15" t="s">
        <v>55</v>
      </c>
      <c r="P70" s="15" t="s">
        <v>55</v>
      </c>
      <c r="Q70" s="15" t="s">
        <v>55</v>
      </c>
      <c r="R70" s="15" t="s">
        <v>55</v>
      </c>
      <c r="S70" t="s">
        <v>55</v>
      </c>
      <c r="T70" s="20" t="s">
        <v>55</v>
      </c>
      <c r="U70" s="20" t="e">
        <f t="shared" si="1"/>
        <v>#VALUE!</v>
      </c>
      <c r="V70" s="20" t="e">
        <f t="shared" si="2"/>
        <v>#VALUE!</v>
      </c>
      <c r="W70" s="20" t="e">
        <f t="shared" si="3"/>
        <v>#VALUE!</v>
      </c>
      <c r="X70" s="20" t="e">
        <f t="shared" si="4"/>
        <v>#VALUE!</v>
      </c>
      <c r="Y70" s="20" t="e">
        <f t="shared" si="5"/>
        <v>#VALUE!</v>
      </c>
      <c r="Z70" s="20" t="e">
        <f t="shared" si="6"/>
        <v>#VALUE!</v>
      </c>
    </row>
    <row r="71" spans="1:26" x14ac:dyDescent="0.15">
      <c r="A71" s="74" t="s">
        <v>31</v>
      </c>
      <c r="B71" s="93">
        <v>45547</v>
      </c>
      <c r="C71" s="11">
        <v>0.57638888888888895</v>
      </c>
      <c r="D71" s="12">
        <v>-5</v>
      </c>
      <c r="E71" s="15" t="s">
        <v>55</v>
      </c>
      <c r="F71" s="15" t="s">
        <v>55</v>
      </c>
      <c r="G71" s="15" t="s">
        <v>55</v>
      </c>
      <c r="H71" s="15" t="s">
        <v>55</v>
      </c>
      <c r="I71" s="15" t="s">
        <v>55</v>
      </c>
      <c r="J71" s="15" t="s">
        <v>55</v>
      </c>
      <c r="K71" s="15" t="s">
        <v>55</v>
      </c>
      <c r="L71" s="15" t="s">
        <v>55</v>
      </c>
      <c r="M71" s="15" t="s">
        <v>55</v>
      </c>
      <c r="N71" s="15" t="s">
        <v>55</v>
      </c>
      <c r="O71" s="15" t="s">
        <v>55</v>
      </c>
      <c r="P71" s="15" t="s">
        <v>55</v>
      </c>
      <c r="Q71" s="15" t="s">
        <v>55</v>
      </c>
      <c r="R71" s="15" t="s">
        <v>55</v>
      </c>
      <c r="S71" t="s">
        <v>55</v>
      </c>
      <c r="T71" s="20" t="s">
        <v>55</v>
      </c>
      <c r="U71" s="20" t="e">
        <f t="shared" ref="U71:Z71" si="19">M71-$T71</f>
        <v>#VALUE!</v>
      </c>
      <c r="V71" s="20" t="e">
        <f t="shared" si="19"/>
        <v>#VALUE!</v>
      </c>
      <c r="W71" s="20" t="e">
        <f t="shared" si="19"/>
        <v>#VALUE!</v>
      </c>
      <c r="X71" s="20" t="e">
        <f t="shared" si="19"/>
        <v>#VALUE!</v>
      </c>
      <c r="Y71" s="20" t="e">
        <f t="shared" si="19"/>
        <v>#VALUE!</v>
      </c>
      <c r="Z71" s="20" t="e">
        <f t="shared" si="19"/>
        <v>#VALUE!</v>
      </c>
    </row>
    <row r="72" spans="1:26" x14ac:dyDescent="0.15">
      <c r="A72" s="74" t="s">
        <v>32</v>
      </c>
      <c r="B72" s="93">
        <v>45547</v>
      </c>
      <c r="C72" s="11">
        <v>0.58333333333333337</v>
      </c>
      <c r="D72" s="12">
        <v>-5</v>
      </c>
      <c r="E72" s="15" t="s">
        <v>55</v>
      </c>
      <c r="F72" s="15" t="s">
        <v>55</v>
      </c>
      <c r="G72" s="15" t="s">
        <v>55</v>
      </c>
      <c r="H72" s="15" t="s">
        <v>55</v>
      </c>
      <c r="I72" s="15" t="s">
        <v>55</v>
      </c>
      <c r="J72" s="15" t="s">
        <v>55</v>
      </c>
      <c r="K72" s="15" t="s">
        <v>55</v>
      </c>
      <c r="L72" s="15" t="s">
        <v>55</v>
      </c>
      <c r="M72" s="15" t="s">
        <v>55</v>
      </c>
      <c r="N72" s="15" t="s">
        <v>55</v>
      </c>
      <c r="O72" s="15" t="s">
        <v>55</v>
      </c>
      <c r="P72" s="15" t="s">
        <v>55</v>
      </c>
      <c r="Q72" s="15" t="s">
        <v>55</v>
      </c>
      <c r="R72" s="15" t="s">
        <v>55</v>
      </c>
      <c r="S72" t="s">
        <v>55</v>
      </c>
      <c r="T72" s="20" t="s">
        <v>55</v>
      </c>
      <c r="U72" s="20" t="e">
        <f t="shared" si="1"/>
        <v>#VALUE!</v>
      </c>
      <c r="V72" s="20" t="e">
        <f t="shared" si="2"/>
        <v>#VALUE!</v>
      </c>
      <c r="W72" s="20" t="e">
        <f t="shared" si="3"/>
        <v>#VALUE!</v>
      </c>
      <c r="X72" s="20" t="e">
        <f t="shared" si="4"/>
        <v>#VALUE!</v>
      </c>
      <c r="Y72" s="20" t="e">
        <f t="shared" si="5"/>
        <v>#VALUE!</v>
      </c>
      <c r="Z72" s="20" t="e">
        <f t="shared" si="6"/>
        <v>#VALUE!</v>
      </c>
    </row>
    <row r="73" spans="1:26" x14ac:dyDescent="0.15">
      <c r="A73" s="74" t="s">
        <v>33</v>
      </c>
      <c r="B73" s="93">
        <v>45547</v>
      </c>
      <c r="C73" s="11">
        <v>0.58124999999999993</v>
      </c>
      <c r="D73" s="12">
        <v>-5</v>
      </c>
      <c r="E73" s="15" t="s">
        <v>55</v>
      </c>
      <c r="F73" s="15" t="s">
        <v>55</v>
      </c>
      <c r="G73" s="15" t="s">
        <v>55</v>
      </c>
      <c r="H73" s="15" t="s">
        <v>55</v>
      </c>
      <c r="I73" s="15" t="s">
        <v>55</v>
      </c>
      <c r="J73" s="15" t="s">
        <v>55</v>
      </c>
      <c r="K73" s="15" t="s">
        <v>55</v>
      </c>
      <c r="L73" s="15" t="s">
        <v>55</v>
      </c>
      <c r="M73" s="15" t="s">
        <v>55</v>
      </c>
      <c r="N73" s="15" t="s">
        <v>55</v>
      </c>
      <c r="O73" s="15" t="s">
        <v>55</v>
      </c>
      <c r="P73" s="15" t="s">
        <v>55</v>
      </c>
      <c r="Q73" s="15" t="s">
        <v>55</v>
      </c>
      <c r="R73" s="15" t="s">
        <v>55</v>
      </c>
      <c r="S73" t="s">
        <v>55</v>
      </c>
      <c r="T73" s="20" t="s">
        <v>55</v>
      </c>
      <c r="U73" s="20" t="e">
        <f t="shared" si="1"/>
        <v>#VALUE!</v>
      </c>
      <c r="V73" s="20" t="e">
        <f t="shared" si="2"/>
        <v>#VALUE!</v>
      </c>
      <c r="W73" s="20" t="e">
        <f t="shared" si="3"/>
        <v>#VALUE!</v>
      </c>
      <c r="X73" s="20" t="e">
        <f t="shared" si="4"/>
        <v>#VALUE!</v>
      </c>
      <c r="Y73" s="20" t="e">
        <f t="shared" si="5"/>
        <v>#VALUE!</v>
      </c>
      <c r="Z73" s="20" t="e">
        <f t="shared" si="6"/>
        <v>#VALUE!</v>
      </c>
    </row>
    <row r="74" spans="1:26" x14ac:dyDescent="0.15">
      <c r="A74" s="4"/>
      <c r="B74" s="104"/>
      <c r="C74" s="22"/>
      <c r="D74" s="48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T74" s="20"/>
      <c r="U74" s="20"/>
      <c r="V74" s="20"/>
      <c r="W74" s="20"/>
      <c r="X74" s="20"/>
      <c r="Y74" s="20"/>
      <c r="Z74" s="20"/>
    </row>
    <row r="75" spans="1:26" x14ac:dyDescent="0.15">
      <c r="A75" s="55" t="s">
        <v>23</v>
      </c>
      <c r="B75" s="93">
        <v>45547</v>
      </c>
      <c r="C75" s="9">
        <v>0.63055555555555554</v>
      </c>
      <c r="D75" s="10">
        <v>-10</v>
      </c>
      <c r="E75" s="16" t="s">
        <v>55</v>
      </c>
      <c r="F75" s="16" t="s">
        <v>55</v>
      </c>
      <c r="G75" s="16" t="s">
        <v>55</v>
      </c>
      <c r="H75" s="16" t="s">
        <v>55</v>
      </c>
      <c r="I75" s="16" t="s">
        <v>55</v>
      </c>
      <c r="J75" s="16" t="s">
        <v>55</v>
      </c>
      <c r="K75" s="16" t="s">
        <v>55</v>
      </c>
      <c r="L75" s="16" t="s">
        <v>55</v>
      </c>
      <c r="M75" s="16" t="s">
        <v>55</v>
      </c>
      <c r="N75" s="16" t="s">
        <v>55</v>
      </c>
      <c r="O75" s="16" t="s">
        <v>55</v>
      </c>
      <c r="P75" s="16" t="s">
        <v>55</v>
      </c>
      <c r="Q75" s="16" t="s">
        <v>55</v>
      </c>
      <c r="R75" s="16" t="s">
        <v>55</v>
      </c>
      <c r="S75" t="s">
        <v>55</v>
      </c>
      <c r="T75" s="20" t="s">
        <v>55</v>
      </c>
      <c r="U75" s="20" t="e">
        <f t="shared" si="1"/>
        <v>#VALUE!</v>
      </c>
      <c r="V75" s="20" t="e">
        <f t="shared" si="2"/>
        <v>#VALUE!</v>
      </c>
      <c r="W75" s="20" t="e">
        <f t="shared" si="3"/>
        <v>#VALUE!</v>
      </c>
      <c r="X75" s="20" t="e">
        <f t="shared" si="4"/>
        <v>#VALUE!</v>
      </c>
      <c r="Y75" s="20" t="e">
        <f t="shared" si="5"/>
        <v>#VALUE!</v>
      </c>
      <c r="Z75" s="20" t="e">
        <f t="shared" si="6"/>
        <v>#VALUE!</v>
      </c>
    </row>
    <row r="76" spans="1:26" x14ac:dyDescent="0.15">
      <c r="A76" s="56" t="s">
        <v>24</v>
      </c>
      <c r="B76" s="93">
        <v>45547</v>
      </c>
      <c r="C76" s="11">
        <v>0.63263888888888886</v>
      </c>
      <c r="D76" s="12">
        <v>-10</v>
      </c>
      <c r="E76" s="15" t="s">
        <v>55</v>
      </c>
      <c r="F76" s="15" t="s">
        <v>55</v>
      </c>
      <c r="G76" s="15" t="s">
        <v>55</v>
      </c>
      <c r="H76" s="15" t="s">
        <v>55</v>
      </c>
      <c r="I76" s="15" t="s">
        <v>55</v>
      </c>
      <c r="J76" s="15" t="s">
        <v>55</v>
      </c>
      <c r="K76" s="15" t="s">
        <v>55</v>
      </c>
      <c r="L76" s="15" t="s">
        <v>55</v>
      </c>
      <c r="M76" s="15" t="s">
        <v>55</v>
      </c>
      <c r="N76" s="15" t="s">
        <v>55</v>
      </c>
      <c r="O76" s="15" t="s">
        <v>55</v>
      </c>
      <c r="P76" s="15" t="s">
        <v>55</v>
      </c>
      <c r="Q76" s="15" t="s">
        <v>55</v>
      </c>
      <c r="R76" s="15" t="s">
        <v>55</v>
      </c>
      <c r="S76" t="s">
        <v>55</v>
      </c>
      <c r="T76" s="20" t="s">
        <v>55</v>
      </c>
      <c r="U76" s="20" t="e">
        <f t="shared" si="1"/>
        <v>#VALUE!</v>
      </c>
      <c r="V76" s="20" t="e">
        <f t="shared" si="2"/>
        <v>#VALUE!</v>
      </c>
      <c r="W76" s="20" t="e">
        <f t="shared" si="3"/>
        <v>#VALUE!</v>
      </c>
      <c r="X76" s="20" t="e">
        <f t="shared" si="4"/>
        <v>#VALUE!</v>
      </c>
      <c r="Y76" s="20" t="e">
        <f t="shared" si="5"/>
        <v>#VALUE!</v>
      </c>
      <c r="Z76" s="20" t="e">
        <f t="shared" si="6"/>
        <v>#VALUE!</v>
      </c>
    </row>
    <row r="77" spans="1:26" x14ac:dyDescent="0.15">
      <c r="A77" s="74" t="s">
        <v>31</v>
      </c>
      <c r="B77" s="93">
        <v>45547</v>
      </c>
      <c r="C77" s="11">
        <v>0.63472222222222219</v>
      </c>
      <c r="D77" s="12">
        <v>-10</v>
      </c>
      <c r="E77" s="15" t="s">
        <v>55</v>
      </c>
      <c r="F77" s="15" t="s">
        <v>55</v>
      </c>
      <c r="G77" s="15" t="s">
        <v>55</v>
      </c>
      <c r="H77" s="15" t="s">
        <v>55</v>
      </c>
      <c r="I77" s="15" t="s">
        <v>55</v>
      </c>
      <c r="J77" s="15" t="s">
        <v>55</v>
      </c>
      <c r="K77" s="15" t="s">
        <v>55</v>
      </c>
      <c r="L77" s="15" t="s">
        <v>55</v>
      </c>
      <c r="M77" s="15" t="s">
        <v>55</v>
      </c>
      <c r="N77" s="15" t="s">
        <v>55</v>
      </c>
      <c r="O77" s="15" t="s">
        <v>55</v>
      </c>
      <c r="P77" s="15" t="s">
        <v>55</v>
      </c>
      <c r="Q77" s="15" t="s">
        <v>55</v>
      </c>
      <c r="R77" s="15" t="s">
        <v>55</v>
      </c>
      <c r="S77" t="s">
        <v>55</v>
      </c>
      <c r="T77" s="20" t="s">
        <v>55</v>
      </c>
      <c r="U77" s="20" t="e">
        <f t="shared" ref="U77:Z77" si="20">M77-$T77</f>
        <v>#VALUE!</v>
      </c>
      <c r="V77" s="20" t="e">
        <f t="shared" si="20"/>
        <v>#VALUE!</v>
      </c>
      <c r="W77" s="20" t="e">
        <f t="shared" si="20"/>
        <v>#VALUE!</v>
      </c>
      <c r="X77" s="20" t="e">
        <f t="shared" si="20"/>
        <v>#VALUE!</v>
      </c>
      <c r="Y77" s="20" t="e">
        <f t="shared" si="20"/>
        <v>#VALUE!</v>
      </c>
      <c r="Z77" s="20" t="e">
        <f t="shared" si="20"/>
        <v>#VALUE!</v>
      </c>
    </row>
    <row r="78" spans="1:26" x14ac:dyDescent="0.15">
      <c r="A78" s="74" t="s">
        <v>32</v>
      </c>
      <c r="B78" s="93">
        <v>45547</v>
      </c>
      <c r="C78" s="11">
        <v>0.63680555555555551</v>
      </c>
      <c r="D78" s="12">
        <v>-10</v>
      </c>
      <c r="E78" s="15" t="s">
        <v>55</v>
      </c>
      <c r="F78" s="15" t="s">
        <v>55</v>
      </c>
      <c r="G78" s="15" t="s">
        <v>55</v>
      </c>
      <c r="H78" s="15" t="s">
        <v>55</v>
      </c>
      <c r="I78" s="15" t="s">
        <v>55</v>
      </c>
      <c r="J78" s="15" t="s">
        <v>55</v>
      </c>
      <c r="K78" s="15" t="s">
        <v>55</v>
      </c>
      <c r="L78" s="15" t="s">
        <v>55</v>
      </c>
      <c r="M78" s="15" t="s">
        <v>55</v>
      </c>
      <c r="N78" s="15" t="s">
        <v>55</v>
      </c>
      <c r="O78" s="15" t="s">
        <v>55</v>
      </c>
      <c r="P78" s="15" t="s">
        <v>55</v>
      </c>
      <c r="Q78" s="15" t="s">
        <v>55</v>
      </c>
      <c r="R78" s="15" t="s">
        <v>55</v>
      </c>
      <c r="S78" t="s">
        <v>55</v>
      </c>
      <c r="T78" s="20" t="s">
        <v>55</v>
      </c>
      <c r="U78" s="20" t="e">
        <f t="shared" si="1"/>
        <v>#VALUE!</v>
      </c>
      <c r="V78" s="20" t="e">
        <f t="shared" si="2"/>
        <v>#VALUE!</v>
      </c>
      <c r="W78" s="20" t="e">
        <f t="shared" si="3"/>
        <v>#VALUE!</v>
      </c>
      <c r="X78" s="20" t="e">
        <f t="shared" si="4"/>
        <v>#VALUE!</v>
      </c>
      <c r="Y78" s="20" t="e">
        <f t="shared" si="5"/>
        <v>#VALUE!</v>
      </c>
      <c r="Z78" s="20" t="e">
        <f t="shared" si="6"/>
        <v>#VALUE!</v>
      </c>
    </row>
    <row r="79" spans="1:26" x14ac:dyDescent="0.15">
      <c r="A79" s="74" t="s">
        <v>33</v>
      </c>
      <c r="B79" s="93">
        <v>45547</v>
      </c>
      <c r="C79" s="11">
        <v>0.63888888888888895</v>
      </c>
      <c r="D79" s="12">
        <v>-10</v>
      </c>
      <c r="E79" s="15" t="s">
        <v>55</v>
      </c>
      <c r="F79" s="15" t="s">
        <v>55</v>
      </c>
      <c r="G79" s="15" t="s">
        <v>55</v>
      </c>
      <c r="H79" s="15" t="s">
        <v>55</v>
      </c>
      <c r="I79" s="15" t="s">
        <v>55</v>
      </c>
      <c r="J79" s="15" t="s">
        <v>55</v>
      </c>
      <c r="K79" s="15" t="s">
        <v>55</v>
      </c>
      <c r="L79" s="15" t="s">
        <v>55</v>
      </c>
      <c r="M79" s="15" t="s">
        <v>55</v>
      </c>
      <c r="N79" s="15" t="s">
        <v>55</v>
      </c>
      <c r="O79" s="15" t="s">
        <v>55</v>
      </c>
      <c r="P79" s="15" t="s">
        <v>55</v>
      </c>
      <c r="Q79" s="15" t="s">
        <v>55</v>
      </c>
      <c r="R79" s="15" t="s">
        <v>55</v>
      </c>
      <c r="S79" t="s">
        <v>55</v>
      </c>
      <c r="T79" s="20" t="s">
        <v>55</v>
      </c>
      <c r="U79" s="20" t="e">
        <f t="shared" si="1"/>
        <v>#VALUE!</v>
      </c>
      <c r="V79" s="20" t="e">
        <f t="shared" si="2"/>
        <v>#VALUE!</v>
      </c>
      <c r="W79" s="20" t="e">
        <f t="shared" si="3"/>
        <v>#VALUE!</v>
      </c>
      <c r="X79" s="20" t="e">
        <f t="shared" si="4"/>
        <v>#VALUE!</v>
      </c>
      <c r="Y79" s="20" t="e">
        <f t="shared" si="5"/>
        <v>#VALUE!</v>
      </c>
      <c r="Z79" s="20" t="e">
        <f t="shared" si="6"/>
        <v>#VALUE!</v>
      </c>
    </row>
    <row r="80" spans="1:26" x14ac:dyDescent="0.15">
      <c r="A80" s="56"/>
      <c r="B80" s="102"/>
      <c r="C80" s="22"/>
      <c r="D80" s="48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T80" s="20"/>
      <c r="U80" s="20"/>
      <c r="V80" s="20"/>
      <c r="W80" s="20"/>
      <c r="X80" s="20"/>
      <c r="Y80" s="20"/>
      <c r="Z80" s="20"/>
    </row>
    <row r="81" spans="1:26" ht="14.25" customHeight="1" x14ac:dyDescent="0.15">
      <c r="A81" s="55" t="s">
        <v>23</v>
      </c>
      <c r="B81" s="93">
        <v>45547</v>
      </c>
      <c r="C81" s="9">
        <v>0.68055555555555547</v>
      </c>
      <c r="D81" s="10">
        <v>-20</v>
      </c>
      <c r="E81" s="17" t="s">
        <v>55</v>
      </c>
      <c r="F81" s="16" t="s">
        <v>55</v>
      </c>
      <c r="G81" s="16" t="s">
        <v>55</v>
      </c>
      <c r="H81" s="16" t="s">
        <v>55</v>
      </c>
      <c r="I81" s="16" t="s">
        <v>55</v>
      </c>
      <c r="J81" s="16" t="s">
        <v>55</v>
      </c>
      <c r="K81" s="16" t="s">
        <v>55</v>
      </c>
      <c r="L81" s="16" t="s">
        <v>55</v>
      </c>
      <c r="M81" s="16" t="s">
        <v>55</v>
      </c>
      <c r="N81" s="16" t="s">
        <v>55</v>
      </c>
      <c r="O81" s="16" t="s">
        <v>55</v>
      </c>
      <c r="P81" s="16" t="s">
        <v>55</v>
      </c>
      <c r="Q81" s="16" t="s">
        <v>55</v>
      </c>
      <c r="R81" s="16" t="s">
        <v>55</v>
      </c>
      <c r="S81" t="s">
        <v>55</v>
      </c>
      <c r="T81" s="20" t="s">
        <v>55</v>
      </c>
      <c r="U81" s="20" t="e">
        <f t="shared" si="1"/>
        <v>#VALUE!</v>
      </c>
      <c r="V81" s="20" t="e">
        <f t="shared" si="2"/>
        <v>#VALUE!</v>
      </c>
      <c r="W81" s="20" t="e">
        <f t="shared" si="3"/>
        <v>#VALUE!</v>
      </c>
      <c r="X81" s="20" t="e">
        <f t="shared" si="4"/>
        <v>#VALUE!</v>
      </c>
      <c r="Y81" s="20" t="e">
        <f t="shared" si="5"/>
        <v>#VALUE!</v>
      </c>
      <c r="Z81" s="20" t="e">
        <f t="shared" si="6"/>
        <v>#VALUE!</v>
      </c>
    </row>
    <row r="82" spans="1:26" ht="14.25" customHeight="1" x14ac:dyDescent="0.15">
      <c r="A82" s="56" t="s">
        <v>24</v>
      </c>
      <c r="B82" s="93">
        <v>45547</v>
      </c>
      <c r="C82" s="11">
        <v>0.68333333333333324</v>
      </c>
      <c r="D82" s="12">
        <v>-20</v>
      </c>
      <c r="E82" s="15" t="s">
        <v>55</v>
      </c>
      <c r="F82" s="15" t="s">
        <v>55</v>
      </c>
      <c r="G82" s="15" t="s">
        <v>55</v>
      </c>
      <c r="H82" s="15" t="s">
        <v>55</v>
      </c>
      <c r="I82" s="15" t="s">
        <v>55</v>
      </c>
      <c r="J82" s="15" t="s">
        <v>55</v>
      </c>
      <c r="K82" s="15" t="s">
        <v>55</v>
      </c>
      <c r="L82" s="15" t="s">
        <v>55</v>
      </c>
      <c r="M82" s="15" t="s">
        <v>55</v>
      </c>
      <c r="N82" s="15" t="s">
        <v>55</v>
      </c>
      <c r="O82" s="15" t="s">
        <v>55</v>
      </c>
      <c r="P82" s="15" t="s">
        <v>55</v>
      </c>
      <c r="Q82" s="15" t="s">
        <v>55</v>
      </c>
      <c r="R82" s="15" t="s">
        <v>55</v>
      </c>
      <c r="S82" t="s">
        <v>55</v>
      </c>
      <c r="T82" s="20" t="s">
        <v>55</v>
      </c>
      <c r="U82" s="20" t="e">
        <f t="shared" si="1"/>
        <v>#VALUE!</v>
      </c>
      <c r="V82" s="20" t="e">
        <f t="shared" si="2"/>
        <v>#VALUE!</v>
      </c>
      <c r="W82" s="20" t="e">
        <f t="shared" si="3"/>
        <v>#VALUE!</v>
      </c>
      <c r="X82" s="20" t="e">
        <f t="shared" si="4"/>
        <v>#VALUE!</v>
      </c>
      <c r="Y82" s="20" t="e">
        <f t="shared" si="5"/>
        <v>#VALUE!</v>
      </c>
      <c r="Z82" s="20" t="e">
        <f t="shared" si="6"/>
        <v>#VALUE!</v>
      </c>
    </row>
    <row r="83" spans="1:26" ht="14.25" customHeight="1" x14ac:dyDescent="0.15">
      <c r="A83" s="74" t="s">
        <v>31</v>
      </c>
      <c r="B83" s="93">
        <v>45547</v>
      </c>
      <c r="C83" s="11">
        <v>0.68541666666666667</v>
      </c>
      <c r="D83" s="12">
        <v>-20</v>
      </c>
      <c r="E83" s="15" t="s">
        <v>55</v>
      </c>
      <c r="F83" s="15" t="s">
        <v>55</v>
      </c>
      <c r="G83" s="15" t="s">
        <v>55</v>
      </c>
      <c r="H83" s="15" t="s">
        <v>55</v>
      </c>
      <c r="I83" s="15" t="s">
        <v>55</v>
      </c>
      <c r="J83" s="15" t="s">
        <v>55</v>
      </c>
      <c r="K83" s="15" t="s">
        <v>55</v>
      </c>
      <c r="L83" s="15" t="s">
        <v>55</v>
      </c>
      <c r="M83" s="15" t="s">
        <v>55</v>
      </c>
      <c r="N83" s="15" t="s">
        <v>55</v>
      </c>
      <c r="O83" s="15" t="s">
        <v>55</v>
      </c>
      <c r="P83" s="15" t="s">
        <v>55</v>
      </c>
      <c r="Q83" s="15" t="s">
        <v>55</v>
      </c>
      <c r="R83" s="15" t="s">
        <v>55</v>
      </c>
      <c r="S83" t="s">
        <v>55</v>
      </c>
      <c r="T83" s="20" t="s">
        <v>55</v>
      </c>
      <c r="U83" s="20" t="e">
        <f t="shared" ref="U83:Z83" si="21">M83-$T83</f>
        <v>#VALUE!</v>
      </c>
      <c r="V83" s="20" t="e">
        <f t="shared" si="21"/>
        <v>#VALUE!</v>
      </c>
      <c r="W83" s="20" t="e">
        <f t="shared" si="21"/>
        <v>#VALUE!</v>
      </c>
      <c r="X83" s="20" t="e">
        <f t="shared" si="21"/>
        <v>#VALUE!</v>
      </c>
      <c r="Y83" s="20" t="e">
        <f t="shared" si="21"/>
        <v>#VALUE!</v>
      </c>
      <c r="Z83" s="20" t="e">
        <f t="shared" si="21"/>
        <v>#VALUE!</v>
      </c>
    </row>
    <row r="84" spans="1:26" ht="14.25" customHeight="1" x14ac:dyDescent="0.15">
      <c r="A84" s="74" t="s">
        <v>32</v>
      </c>
      <c r="B84" s="93">
        <v>45547</v>
      </c>
      <c r="C84" s="11">
        <v>0.6875</v>
      </c>
      <c r="D84" s="12">
        <v>-20</v>
      </c>
      <c r="E84" s="15" t="s">
        <v>55</v>
      </c>
      <c r="F84" s="15" t="s">
        <v>55</v>
      </c>
      <c r="G84" s="15" t="s">
        <v>55</v>
      </c>
      <c r="H84" s="15" t="s">
        <v>55</v>
      </c>
      <c r="I84" s="15" t="s">
        <v>55</v>
      </c>
      <c r="J84" s="15" t="s">
        <v>55</v>
      </c>
      <c r="K84" s="15" t="s">
        <v>55</v>
      </c>
      <c r="L84" s="15" t="s">
        <v>55</v>
      </c>
      <c r="M84" s="15" t="s">
        <v>55</v>
      </c>
      <c r="N84" s="15" t="s">
        <v>55</v>
      </c>
      <c r="O84" s="15" t="s">
        <v>55</v>
      </c>
      <c r="P84" s="15" t="s">
        <v>55</v>
      </c>
      <c r="Q84" s="15" t="s">
        <v>55</v>
      </c>
      <c r="R84" s="15" t="s">
        <v>55</v>
      </c>
      <c r="S84" t="s">
        <v>55</v>
      </c>
      <c r="T84" s="20" t="s">
        <v>55</v>
      </c>
      <c r="U84" s="20" t="e">
        <f t="shared" si="1"/>
        <v>#VALUE!</v>
      </c>
      <c r="V84" s="20" t="e">
        <f t="shared" si="2"/>
        <v>#VALUE!</v>
      </c>
      <c r="W84" s="20" t="e">
        <f t="shared" si="3"/>
        <v>#VALUE!</v>
      </c>
      <c r="X84" s="20" t="e">
        <f t="shared" si="4"/>
        <v>#VALUE!</v>
      </c>
      <c r="Y84" s="20" t="e">
        <f t="shared" si="5"/>
        <v>#VALUE!</v>
      </c>
      <c r="Z84" s="20" t="e">
        <f t="shared" si="6"/>
        <v>#VALUE!</v>
      </c>
    </row>
    <row r="85" spans="1:26" ht="14.25" customHeight="1" x14ac:dyDescent="0.15">
      <c r="A85" s="74" t="s">
        <v>33</v>
      </c>
      <c r="B85" s="93">
        <v>45547</v>
      </c>
      <c r="C85" s="11">
        <v>0.68958333333333333</v>
      </c>
      <c r="D85" s="12">
        <v>-20</v>
      </c>
      <c r="E85" s="15" t="s">
        <v>55</v>
      </c>
      <c r="F85" s="15" t="s">
        <v>55</v>
      </c>
      <c r="G85" s="15" t="s">
        <v>55</v>
      </c>
      <c r="H85" s="15" t="s">
        <v>55</v>
      </c>
      <c r="I85" s="15" t="s">
        <v>55</v>
      </c>
      <c r="J85" s="15" t="s">
        <v>55</v>
      </c>
      <c r="K85" s="15" t="s">
        <v>55</v>
      </c>
      <c r="L85" s="15" t="s">
        <v>55</v>
      </c>
      <c r="M85" s="15" t="s">
        <v>55</v>
      </c>
      <c r="N85" s="15" t="s">
        <v>55</v>
      </c>
      <c r="O85" s="15" t="s">
        <v>55</v>
      </c>
      <c r="P85" s="15" t="s">
        <v>55</v>
      </c>
      <c r="Q85" s="15" t="s">
        <v>55</v>
      </c>
      <c r="R85" s="15" t="s">
        <v>55</v>
      </c>
      <c r="S85" t="s">
        <v>55</v>
      </c>
      <c r="T85" s="20" t="s">
        <v>55</v>
      </c>
      <c r="U85" s="20" t="e">
        <f t="shared" si="1"/>
        <v>#VALUE!</v>
      </c>
      <c r="V85" s="20" t="e">
        <f t="shared" si="2"/>
        <v>#VALUE!</v>
      </c>
      <c r="W85" s="20" t="e">
        <f t="shared" si="3"/>
        <v>#VALUE!</v>
      </c>
      <c r="X85" s="20" t="e">
        <f t="shared" si="4"/>
        <v>#VALUE!</v>
      </c>
      <c r="Y85" s="20" t="e">
        <f t="shared" si="5"/>
        <v>#VALUE!</v>
      </c>
      <c r="Z85" s="20" t="e">
        <f t="shared" si="6"/>
        <v>#VALUE!</v>
      </c>
    </row>
    <row r="86" spans="1:26" s="44" customFormat="1" ht="14.25" customHeight="1" x14ac:dyDescent="0.15">
      <c r="A86" s="57"/>
      <c r="B86" s="105"/>
      <c r="C86" s="52"/>
      <c r="D86" s="53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T86" s="45" t="e">
        <f>AVERAGE(M86:R86)</f>
        <v>#DIV/0!</v>
      </c>
      <c r="U86" s="45" t="e">
        <f t="shared" si="1"/>
        <v>#DIV/0!</v>
      </c>
      <c r="V86" s="45" t="e">
        <f t="shared" si="2"/>
        <v>#DIV/0!</v>
      </c>
      <c r="W86" s="45" t="e">
        <f t="shared" si="3"/>
        <v>#DIV/0!</v>
      </c>
      <c r="X86" s="45" t="e">
        <f t="shared" si="4"/>
        <v>#DIV/0!</v>
      </c>
      <c r="Y86" s="45" t="e">
        <f t="shared" si="5"/>
        <v>#DIV/0!</v>
      </c>
      <c r="Z86" s="45" t="e">
        <f t="shared" si="6"/>
        <v>#DIV/0!</v>
      </c>
    </row>
    <row r="87" spans="1:26" ht="14.25" customHeight="1" x14ac:dyDescent="0.15">
      <c r="A87" s="55" t="s">
        <v>23</v>
      </c>
      <c r="B87" s="93">
        <v>45547</v>
      </c>
      <c r="C87" s="9">
        <v>0.73472222222222217</v>
      </c>
      <c r="D87" s="10">
        <v>-25</v>
      </c>
      <c r="E87" s="17" t="s">
        <v>55</v>
      </c>
      <c r="F87" s="16" t="s">
        <v>55</v>
      </c>
      <c r="G87" s="16" t="s">
        <v>55</v>
      </c>
      <c r="H87" s="16" t="s">
        <v>55</v>
      </c>
      <c r="I87" s="16" t="s">
        <v>55</v>
      </c>
      <c r="J87" s="16" t="s">
        <v>55</v>
      </c>
      <c r="K87" s="16" t="s">
        <v>55</v>
      </c>
      <c r="L87" s="16" t="s">
        <v>55</v>
      </c>
      <c r="M87" s="16" t="s">
        <v>55</v>
      </c>
      <c r="N87" s="16" t="s">
        <v>55</v>
      </c>
      <c r="O87" s="16" t="s">
        <v>55</v>
      </c>
      <c r="P87" s="16" t="s">
        <v>55</v>
      </c>
      <c r="Q87" s="16" t="s">
        <v>55</v>
      </c>
      <c r="R87" s="16" t="s">
        <v>55</v>
      </c>
      <c r="S87" t="s">
        <v>55</v>
      </c>
      <c r="T87" s="20" t="s">
        <v>55</v>
      </c>
      <c r="U87" s="20" t="e">
        <f t="shared" si="1"/>
        <v>#VALUE!</v>
      </c>
      <c r="V87" s="20" t="e">
        <f t="shared" si="2"/>
        <v>#VALUE!</v>
      </c>
      <c r="W87" s="20" t="e">
        <f t="shared" si="3"/>
        <v>#VALUE!</v>
      </c>
      <c r="X87" s="20" t="e">
        <f t="shared" si="4"/>
        <v>#VALUE!</v>
      </c>
      <c r="Y87" s="20" t="e">
        <f t="shared" si="5"/>
        <v>#VALUE!</v>
      </c>
      <c r="Z87" s="20" t="e">
        <f t="shared" si="6"/>
        <v>#VALUE!</v>
      </c>
    </row>
    <row r="88" spans="1:26" x14ac:dyDescent="0.15">
      <c r="A88" s="56" t="s">
        <v>24</v>
      </c>
      <c r="B88" s="93">
        <v>45547</v>
      </c>
      <c r="C88" s="11">
        <v>0.7368055555555556</v>
      </c>
      <c r="D88" s="12">
        <v>-25</v>
      </c>
      <c r="E88" s="15" t="s">
        <v>55</v>
      </c>
      <c r="F88" s="15" t="s">
        <v>55</v>
      </c>
      <c r="G88" s="15" t="s">
        <v>55</v>
      </c>
      <c r="H88" s="15" t="s">
        <v>55</v>
      </c>
      <c r="I88" s="15" t="s">
        <v>55</v>
      </c>
      <c r="J88" s="15" t="s">
        <v>55</v>
      </c>
      <c r="K88" s="15" t="s">
        <v>55</v>
      </c>
      <c r="L88" s="15" t="s">
        <v>55</v>
      </c>
      <c r="M88" s="15" t="s">
        <v>55</v>
      </c>
      <c r="N88" s="15" t="s">
        <v>55</v>
      </c>
      <c r="O88" s="15" t="s">
        <v>55</v>
      </c>
      <c r="P88" s="15" t="s">
        <v>55</v>
      </c>
      <c r="Q88" s="15" t="s">
        <v>55</v>
      </c>
      <c r="R88" s="15" t="s">
        <v>55</v>
      </c>
      <c r="S88" t="s">
        <v>55</v>
      </c>
      <c r="T88" s="20" t="s">
        <v>55</v>
      </c>
      <c r="U88" s="20" t="e">
        <f t="shared" si="1"/>
        <v>#VALUE!</v>
      </c>
      <c r="V88" s="20" t="e">
        <f t="shared" si="2"/>
        <v>#VALUE!</v>
      </c>
      <c r="W88" s="20" t="e">
        <f t="shared" si="3"/>
        <v>#VALUE!</v>
      </c>
      <c r="X88" s="20" t="e">
        <f t="shared" si="4"/>
        <v>#VALUE!</v>
      </c>
      <c r="Y88" s="20" t="e">
        <f t="shared" si="5"/>
        <v>#VALUE!</v>
      </c>
      <c r="Z88" s="20" t="e">
        <f t="shared" si="6"/>
        <v>#VALUE!</v>
      </c>
    </row>
    <row r="89" spans="1:26" x14ac:dyDescent="0.15">
      <c r="A89" s="74" t="s">
        <v>31</v>
      </c>
      <c r="B89" s="93">
        <v>45547</v>
      </c>
      <c r="C89" s="11">
        <v>0.73888888888888893</v>
      </c>
      <c r="D89" s="12">
        <v>-25</v>
      </c>
      <c r="E89" s="15" t="s">
        <v>55</v>
      </c>
      <c r="F89" s="15" t="s">
        <v>55</v>
      </c>
      <c r="G89" s="15" t="s">
        <v>55</v>
      </c>
      <c r="H89" s="15" t="s">
        <v>55</v>
      </c>
      <c r="I89" s="15" t="s">
        <v>55</v>
      </c>
      <c r="J89" s="15" t="s">
        <v>55</v>
      </c>
      <c r="K89" s="15" t="s">
        <v>55</v>
      </c>
      <c r="L89" s="15" t="s">
        <v>55</v>
      </c>
      <c r="M89" s="15" t="s">
        <v>55</v>
      </c>
      <c r="N89" s="15" t="s">
        <v>55</v>
      </c>
      <c r="O89" s="15" t="s">
        <v>55</v>
      </c>
      <c r="P89" s="15" t="s">
        <v>55</v>
      </c>
      <c r="Q89" s="15" t="s">
        <v>55</v>
      </c>
      <c r="R89" s="15" t="s">
        <v>55</v>
      </c>
      <c r="S89" t="s">
        <v>55</v>
      </c>
      <c r="T89" s="20" t="s">
        <v>55</v>
      </c>
      <c r="U89" s="20" t="e">
        <f t="shared" ref="U89:Z89" si="22">M89-$T89</f>
        <v>#VALUE!</v>
      </c>
      <c r="V89" s="20" t="e">
        <f t="shared" si="22"/>
        <v>#VALUE!</v>
      </c>
      <c r="W89" s="20" t="e">
        <f t="shared" si="22"/>
        <v>#VALUE!</v>
      </c>
      <c r="X89" s="20" t="e">
        <f t="shared" si="22"/>
        <v>#VALUE!</v>
      </c>
      <c r="Y89" s="20" t="e">
        <f t="shared" si="22"/>
        <v>#VALUE!</v>
      </c>
      <c r="Z89" s="20" t="e">
        <f t="shared" si="22"/>
        <v>#VALUE!</v>
      </c>
    </row>
    <row r="90" spans="1:26" x14ac:dyDescent="0.15">
      <c r="A90" s="74" t="s">
        <v>32</v>
      </c>
      <c r="B90" s="93">
        <v>45547</v>
      </c>
      <c r="C90" s="11">
        <v>0.74097222222222225</v>
      </c>
      <c r="D90" s="12">
        <v>-25</v>
      </c>
      <c r="E90" s="15" t="s">
        <v>55</v>
      </c>
      <c r="F90" s="15" t="s">
        <v>55</v>
      </c>
      <c r="G90" s="15" t="s">
        <v>55</v>
      </c>
      <c r="H90" s="15" t="s">
        <v>55</v>
      </c>
      <c r="I90" s="15" t="s">
        <v>55</v>
      </c>
      <c r="J90" s="15" t="s">
        <v>55</v>
      </c>
      <c r="K90" s="15" t="s">
        <v>55</v>
      </c>
      <c r="L90" s="15" t="s">
        <v>55</v>
      </c>
      <c r="M90" s="15" t="s">
        <v>55</v>
      </c>
      <c r="N90" s="15" t="s">
        <v>55</v>
      </c>
      <c r="O90" s="15" t="s">
        <v>55</v>
      </c>
      <c r="P90" s="15" t="s">
        <v>55</v>
      </c>
      <c r="Q90" s="15" t="s">
        <v>55</v>
      </c>
      <c r="R90" s="15" t="s">
        <v>55</v>
      </c>
      <c r="S90" t="s">
        <v>55</v>
      </c>
      <c r="T90" s="20" t="s">
        <v>55</v>
      </c>
      <c r="U90" s="20" t="e">
        <f t="shared" si="1"/>
        <v>#VALUE!</v>
      </c>
      <c r="V90" s="20" t="e">
        <f t="shared" si="2"/>
        <v>#VALUE!</v>
      </c>
      <c r="W90" s="20" t="e">
        <f t="shared" si="3"/>
        <v>#VALUE!</v>
      </c>
      <c r="X90" s="20" t="e">
        <f t="shared" si="4"/>
        <v>#VALUE!</v>
      </c>
      <c r="Y90" s="20" t="e">
        <f t="shared" si="5"/>
        <v>#VALUE!</v>
      </c>
      <c r="Z90" s="20" t="e">
        <f t="shared" si="6"/>
        <v>#VALUE!</v>
      </c>
    </row>
    <row r="91" spans="1:26" x14ac:dyDescent="0.15">
      <c r="A91" s="74" t="s">
        <v>33</v>
      </c>
      <c r="B91" s="93">
        <v>45547</v>
      </c>
      <c r="C91" s="11">
        <v>0.74305555555555547</v>
      </c>
      <c r="D91" s="12">
        <v>-25</v>
      </c>
      <c r="E91" s="15" t="s">
        <v>55</v>
      </c>
      <c r="F91" s="15" t="s">
        <v>55</v>
      </c>
      <c r="G91" s="15" t="s">
        <v>55</v>
      </c>
      <c r="H91" s="15" t="s">
        <v>55</v>
      </c>
      <c r="I91" s="15" t="s">
        <v>55</v>
      </c>
      <c r="J91" s="15" t="s">
        <v>55</v>
      </c>
      <c r="K91" s="15" t="s">
        <v>55</v>
      </c>
      <c r="L91" s="15" t="s">
        <v>55</v>
      </c>
      <c r="M91" s="15" t="s">
        <v>55</v>
      </c>
      <c r="N91" s="15" t="s">
        <v>55</v>
      </c>
      <c r="O91" s="15" t="s">
        <v>55</v>
      </c>
      <c r="P91" s="15" t="s">
        <v>55</v>
      </c>
      <c r="Q91" s="15" t="s">
        <v>55</v>
      </c>
      <c r="R91" s="15" t="s">
        <v>55</v>
      </c>
      <c r="S91" t="s">
        <v>55</v>
      </c>
      <c r="T91" s="20" t="s">
        <v>55</v>
      </c>
      <c r="U91" s="20" t="e">
        <f t="shared" si="1"/>
        <v>#VALUE!</v>
      </c>
      <c r="V91" s="20" t="e">
        <f t="shared" si="2"/>
        <v>#VALUE!</v>
      </c>
      <c r="W91" s="20" t="e">
        <f t="shared" si="3"/>
        <v>#VALUE!</v>
      </c>
      <c r="X91" s="20" t="e">
        <f t="shared" si="4"/>
        <v>#VALUE!</v>
      </c>
      <c r="Y91" s="20" t="e">
        <f t="shared" si="5"/>
        <v>#VALUE!</v>
      </c>
      <c r="Z91" s="20" t="e">
        <f t="shared" si="6"/>
        <v>#VALUE!</v>
      </c>
    </row>
    <row r="92" spans="1:26" ht="14.25" customHeight="1" x14ac:dyDescent="0.15">
      <c r="A92" s="56"/>
      <c r="B92" s="102"/>
      <c r="C92" s="22"/>
      <c r="D92" s="48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T92" s="20"/>
      <c r="U92" s="20"/>
      <c r="V92" s="20"/>
      <c r="W92" s="20"/>
      <c r="X92" s="20"/>
      <c r="Y92" s="20"/>
      <c r="Z92" s="20"/>
    </row>
    <row r="93" spans="1:26" x14ac:dyDescent="0.15">
      <c r="A93" s="55" t="s">
        <v>23</v>
      </c>
      <c r="B93" s="93">
        <v>45547</v>
      </c>
      <c r="C93" s="9">
        <v>0.78680555555555554</v>
      </c>
      <c r="D93" s="10">
        <v>-30</v>
      </c>
      <c r="E93" s="16" t="s">
        <v>55</v>
      </c>
      <c r="F93" s="16" t="s">
        <v>55</v>
      </c>
      <c r="G93" s="16" t="s">
        <v>55</v>
      </c>
      <c r="H93" s="16" t="s">
        <v>55</v>
      </c>
      <c r="I93" s="16" t="s">
        <v>55</v>
      </c>
      <c r="J93" s="16" t="s">
        <v>55</v>
      </c>
      <c r="K93" s="16" t="s">
        <v>55</v>
      </c>
      <c r="L93" s="16" t="s">
        <v>55</v>
      </c>
      <c r="M93" s="16" t="s">
        <v>55</v>
      </c>
      <c r="N93" s="16" t="s">
        <v>55</v>
      </c>
      <c r="O93" s="16" t="s">
        <v>55</v>
      </c>
      <c r="P93" s="16" t="s">
        <v>55</v>
      </c>
      <c r="Q93" s="16" t="s">
        <v>55</v>
      </c>
      <c r="R93" s="16" t="s">
        <v>55</v>
      </c>
      <c r="S93" t="s">
        <v>55</v>
      </c>
      <c r="T93" s="20" t="s">
        <v>55</v>
      </c>
      <c r="U93" s="20" t="e">
        <f t="shared" si="1"/>
        <v>#VALUE!</v>
      </c>
      <c r="V93" s="20" t="e">
        <f t="shared" si="2"/>
        <v>#VALUE!</v>
      </c>
      <c r="W93" s="20" t="e">
        <f t="shared" si="3"/>
        <v>#VALUE!</v>
      </c>
      <c r="X93" s="20" t="e">
        <f t="shared" si="4"/>
        <v>#VALUE!</v>
      </c>
      <c r="Y93" s="20" t="e">
        <f t="shared" si="5"/>
        <v>#VALUE!</v>
      </c>
      <c r="Z93" s="20" t="e">
        <f t="shared" si="6"/>
        <v>#VALUE!</v>
      </c>
    </row>
    <row r="94" spans="1:26" x14ac:dyDescent="0.15">
      <c r="A94" s="56" t="s">
        <v>24</v>
      </c>
      <c r="B94" s="93">
        <v>45547</v>
      </c>
      <c r="C94" s="11">
        <v>0.78888888888888886</v>
      </c>
      <c r="D94" s="12">
        <v>-30</v>
      </c>
      <c r="E94" s="15" t="s">
        <v>55</v>
      </c>
      <c r="F94" s="15" t="s">
        <v>55</v>
      </c>
      <c r="G94" s="15" t="s">
        <v>55</v>
      </c>
      <c r="H94" s="15" t="s">
        <v>55</v>
      </c>
      <c r="I94" s="15" t="s">
        <v>55</v>
      </c>
      <c r="J94" s="15" t="s">
        <v>55</v>
      </c>
      <c r="K94" s="15" t="s">
        <v>55</v>
      </c>
      <c r="L94" s="15" t="s">
        <v>55</v>
      </c>
      <c r="M94" s="15" t="s">
        <v>55</v>
      </c>
      <c r="N94" s="15" t="s">
        <v>55</v>
      </c>
      <c r="O94" s="15" t="s">
        <v>55</v>
      </c>
      <c r="P94" s="15" t="s">
        <v>55</v>
      </c>
      <c r="Q94" s="15" t="s">
        <v>55</v>
      </c>
      <c r="R94" s="15" t="s">
        <v>55</v>
      </c>
      <c r="S94" t="s">
        <v>55</v>
      </c>
      <c r="T94" s="20" t="s">
        <v>55</v>
      </c>
      <c r="U94" s="20" t="e">
        <f t="shared" si="1"/>
        <v>#VALUE!</v>
      </c>
      <c r="V94" s="20" t="e">
        <f t="shared" si="2"/>
        <v>#VALUE!</v>
      </c>
      <c r="W94" s="20" t="e">
        <f t="shared" si="3"/>
        <v>#VALUE!</v>
      </c>
      <c r="X94" s="20" t="e">
        <f t="shared" si="4"/>
        <v>#VALUE!</v>
      </c>
      <c r="Y94" s="20" t="e">
        <f t="shared" si="5"/>
        <v>#VALUE!</v>
      </c>
      <c r="Z94" s="20" t="e">
        <f t="shared" si="6"/>
        <v>#VALUE!</v>
      </c>
    </row>
    <row r="95" spans="1:26" x14ac:dyDescent="0.15">
      <c r="A95" s="74" t="s">
        <v>31</v>
      </c>
      <c r="B95" s="93">
        <v>45547</v>
      </c>
      <c r="C95" s="11">
        <v>0.7909722222222223</v>
      </c>
      <c r="D95" s="12">
        <v>-30</v>
      </c>
      <c r="E95" s="15" t="s">
        <v>55</v>
      </c>
      <c r="F95" s="15" t="s">
        <v>55</v>
      </c>
      <c r="G95" s="15" t="s">
        <v>55</v>
      </c>
      <c r="H95" s="15" t="s">
        <v>55</v>
      </c>
      <c r="I95" s="15" t="s">
        <v>55</v>
      </c>
      <c r="J95" s="15" t="s">
        <v>55</v>
      </c>
      <c r="K95" s="15" t="s">
        <v>55</v>
      </c>
      <c r="L95" s="15" t="s">
        <v>55</v>
      </c>
      <c r="M95" s="15" t="s">
        <v>55</v>
      </c>
      <c r="N95" s="15" t="s">
        <v>55</v>
      </c>
      <c r="O95" s="15" t="s">
        <v>55</v>
      </c>
      <c r="P95" s="15" t="s">
        <v>55</v>
      </c>
      <c r="Q95" s="15" t="s">
        <v>55</v>
      </c>
      <c r="R95" s="15" t="s">
        <v>55</v>
      </c>
      <c r="S95" t="s">
        <v>55</v>
      </c>
      <c r="T95" s="20" t="s">
        <v>55</v>
      </c>
      <c r="U95" s="20" t="e">
        <f t="shared" ref="U95:Z95" si="23">M95-$T95</f>
        <v>#VALUE!</v>
      </c>
      <c r="V95" s="20" t="e">
        <f t="shared" si="23"/>
        <v>#VALUE!</v>
      </c>
      <c r="W95" s="20" t="e">
        <f t="shared" si="23"/>
        <v>#VALUE!</v>
      </c>
      <c r="X95" s="20" t="e">
        <f t="shared" si="23"/>
        <v>#VALUE!</v>
      </c>
      <c r="Y95" s="20" t="e">
        <f t="shared" si="23"/>
        <v>#VALUE!</v>
      </c>
      <c r="Z95" s="20" t="e">
        <f t="shared" si="23"/>
        <v>#VALUE!</v>
      </c>
    </row>
    <row r="96" spans="1:26" x14ac:dyDescent="0.15">
      <c r="A96" s="74" t="s">
        <v>32</v>
      </c>
      <c r="B96" s="93">
        <v>45547</v>
      </c>
      <c r="C96" s="11">
        <v>0.79375000000000007</v>
      </c>
      <c r="D96" s="12">
        <v>-30</v>
      </c>
      <c r="E96" s="15" t="s">
        <v>55</v>
      </c>
      <c r="F96" s="15" t="s">
        <v>55</v>
      </c>
      <c r="G96" s="15" t="s">
        <v>55</v>
      </c>
      <c r="H96" s="15" t="s">
        <v>55</v>
      </c>
      <c r="I96" s="15" t="s">
        <v>55</v>
      </c>
      <c r="J96" s="15" t="s">
        <v>55</v>
      </c>
      <c r="K96" s="15" t="s">
        <v>55</v>
      </c>
      <c r="L96" s="15" t="s">
        <v>55</v>
      </c>
      <c r="M96" s="15" t="s">
        <v>55</v>
      </c>
      <c r="N96" s="15" t="s">
        <v>55</v>
      </c>
      <c r="O96" s="15" t="s">
        <v>55</v>
      </c>
      <c r="P96" s="15" t="s">
        <v>55</v>
      </c>
      <c r="Q96" s="15" t="s">
        <v>55</v>
      </c>
      <c r="R96" s="15" t="s">
        <v>55</v>
      </c>
      <c r="S96" t="s">
        <v>55</v>
      </c>
      <c r="T96" s="20" t="s">
        <v>55</v>
      </c>
      <c r="U96" s="20" t="e">
        <f t="shared" si="1"/>
        <v>#VALUE!</v>
      </c>
      <c r="V96" s="20" t="e">
        <f t="shared" si="2"/>
        <v>#VALUE!</v>
      </c>
      <c r="W96" s="20" t="e">
        <f t="shared" si="3"/>
        <v>#VALUE!</v>
      </c>
      <c r="X96" s="20" t="e">
        <f t="shared" si="4"/>
        <v>#VALUE!</v>
      </c>
      <c r="Y96" s="20" t="e">
        <f t="shared" si="5"/>
        <v>#VALUE!</v>
      </c>
      <c r="Z96" s="20" t="e">
        <f t="shared" si="6"/>
        <v>#VALUE!</v>
      </c>
    </row>
    <row r="97" spans="1:26" x14ac:dyDescent="0.15">
      <c r="A97" s="74" t="s">
        <v>33</v>
      </c>
      <c r="B97" s="93">
        <v>45547</v>
      </c>
      <c r="C97" s="11">
        <v>0.79583333333333339</v>
      </c>
      <c r="D97" s="12">
        <v>-30</v>
      </c>
      <c r="E97" s="15" t="s">
        <v>55</v>
      </c>
      <c r="F97" s="15" t="s">
        <v>55</v>
      </c>
      <c r="G97" s="15" t="s">
        <v>55</v>
      </c>
      <c r="H97" s="15" t="s">
        <v>55</v>
      </c>
      <c r="I97" s="15" t="s">
        <v>55</v>
      </c>
      <c r="J97" s="15" t="s">
        <v>55</v>
      </c>
      <c r="K97" s="15" t="s">
        <v>55</v>
      </c>
      <c r="L97" s="15" t="s">
        <v>55</v>
      </c>
      <c r="M97" s="15" t="s">
        <v>55</v>
      </c>
      <c r="N97" s="15" t="s">
        <v>55</v>
      </c>
      <c r="O97" s="15" t="s">
        <v>55</v>
      </c>
      <c r="P97" s="15" t="s">
        <v>55</v>
      </c>
      <c r="Q97" s="15" t="s">
        <v>55</v>
      </c>
      <c r="R97" s="15" t="s">
        <v>55</v>
      </c>
      <c r="S97" t="s">
        <v>55</v>
      </c>
      <c r="T97" s="20" t="s">
        <v>55</v>
      </c>
      <c r="U97" s="20" t="e">
        <f t="shared" ref="U97:Z97" si="24">M97-$T97</f>
        <v>#VALUE!</v>
      </c>
      <c r="V97" s="20" t="e">
        <f t="shared" si="24"/>
        <v>#VALUE!</v>
      </c>
      <c r="W97" s="20" t="e">
        <f t="shared" si="24"/>
        <v>#VALUE!</v>
      </c>
      <c r="X97" s="20" t="e">
        <f t="shared" si="24"/>
        <v>#VALUE!</v>
      </c>
      <c r="Y97" s="20" t="e">
        <f t="shared" si="24"/>
        <v>#VALUE!</v>
      </c>
      <c r="Z97" s="20" t="e">
        <f t="shared" si="24"/>
        <v>#VALUE!</v>
      </c>
    </row>
  </sheetData>
  <mergeCells count="1">
    <mergeCell ref="E1:Q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6EDE-3A8F-4C95-85F6-EBF22512B8EF}">
  <sheetPr>
    <tabColor indexed="48"/>
  </sheetPr>
  <dimension ref="A1:T30"/>
  <sheetViews>
    <sheetView zoomScale="175" zoomScaleNormal="175" workbookViewId="0">
      <selection activeCell="Q4" sqref="Q4:S18"/>
    </sheetView>
  </sheetViews>
  <sheetFormatPr defaultColWidth="8.75" defaultRowHeight="14.25" x14ac:dyDescent="0.15"/>
  <cols>
    <col min="1" max="1" width="5.625" style="2" bestFit="1" customWidth="1"/>
    <col min="2" max="2" width="16.5" style="91" customWidth="1"/>
    <col min="4" max="4" width="12.625" customWidth="1"/>
    <col min="5" max="5" width="8.75" style="21"/>
    <col min="8" max="8" width="2" style="112" customWidth="1"/>
    <col min="9" max="11" width="9.5" bestFit="1" customWidth="1"/>
    <col min="12" max="12" width="1.875" style="112" customWidth="1"/>
    <col min="13" max="14" width="9.5" bestFit="1" customWidth="1"/>
    <col min="15" max="15" width="8.75" customWidth="1"/>
    <col min="16" max="16" width="1.375" style="112" customWidth="1"/>
    <col min="17" max="17" width="8.625" customWidth="1"/>
    <col min="18" max="18" width="8.75" customWidth="1"/>
    <col min="19" max="19" width="9.5" bestFit="1" customWidth="1"/>
    <col min="20" max="20" width="1.75" style="111" customWidth="1"/>
  </cols>
  <sheetData>
    <row r="1" spans="1:19" x14ac:dyDescent="0.15">
      <c r="C1" s="3" t="s">
        <v>20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</row>
    <row r="2" spans="1:19" x14ac:dyDescent="0.15">
      <c r="A2" s="40"/>
      <c r="B2" s="92"/>
      <c r="C2" s="41"/>
      <c r="D2" s="42"/>
      <c r="E2" s="108" t="s">
        <v>52</v>
      </c>
      <c r="F2" s="109"/>
      <c r="G2" s="109"/>
      <c r="I2" s="110" t="s">
        <v>45</v>
      </c>
      <c r="J2" s="109"/>
      <c r="K2" s="109"/>
      <c r="M2" s="110" t="s">
        <v>46</v>
      </c>
      <c r="N2" s="109"/>
      <c r="O2" s="109"/>
      <c r="Q2" s="110" t="s">
        <v>47</v>
      </c>
      <c r="R2" s="109"/>
      <c r="S2" s="109"/>
    </row>
    <row r="3" spans="1:19" ht="14.25" customHeight="1" x14ac:dyDescent="0.15">
      <c r="A3" s="70" t="s">
        <v>21</v>
      </c>
      <c r="B3" s="94" t="s">
        <v>44</v>
      </c>
      <c r="C3" s="39" t="s">
        <v>0</v>
      </c>
      <c r="D3" s="71" t="s">
        <v>1</v>
      </c>
      <c r="E3" s="39" t="s">
        <v>25</v>
      </c>
      <c r="F3" s="39" t="s">
        <v>26</v>
      </c>
      <c r="G3" s="39" t="s">
        <v>27</v>
      </c>
      <c r="I3" s="39" t="s">
        <v>25</v>
      </c>
      <c r="J3" s="39" t="s">
        <v>26</v>
      </c>
      <c r="K3" s="39" t="s">
        <v>27</v>
      </c>
      <c r="M3" s="39" t="s">
        <v>25</v>
      </c>
      <c r="N3" s="39" t="s">
        <v>26</v>
      </c>
      <c r="O3" s="39" t="s">
        <v>27</v>
      </c>
      <c r="Q3" s="39" t="s">
        <v>25</v>
      </c>
      <c r="R3" s="39" t="s">
        <v>26</v>
      </c>
      <c r="S3" s="39" t="s">
        <v>27</v>
      </c>
    </row>
    <row r="4" spans="1:19" ht="14.25" customHeight="1" x14ac:dyDescent="0.15">
      <c r="A4" s="72">
        <v>1</v>
      </c>
      <c r="B4" s="93">
        <v>45546</v>
      </c>
      <c r="C4" s="80">
        <v>0.67569444444444438</v>
      </c>
      <c r="D4" s="28">
        <v>70</v>
      </c>
      <c r="E4" s="25"/>
      <c r="F4" s="26"/>
      <c r="G4" s="26"/>
      <c r="I4" s="24"/>
      <c r="J4" s="24"/>
      <c r="K4" s="24"/>
      <c r="M4" s="26"/>
      <c r="N4" s="26"/>
      <c r="O4" s="26"/>
      <c r="Q4" s="97"/>
      <c r="R4" s="24"/>
      <c r="S4" s="24"/>
    </row>
    <row r="5" spans="1:19" ht="14.25" customHeight="1" x14ac:dyDescent="0.15">
      <c r="A5" s="72">
        <v>2</v>
      </c>
      <c r="B5" s="93">
        <v>45546</v>
      </c>
      <c r="C5" s="80">
        <v>0.61319444444444449</v>
      </c>
      <c r="D5" s="28">
        <v>60</v>
      </c>
      <c r="E5" s="25"/>
      <c r="F5" s="26"/>
      <c r="G5" s="26"/>
      <c r="I5" s="24"/>
      <c r="J5" s="24"/>
      <c r="K5" s="24"/>
      <c r="M5" s="26"/>
      <c r="N5" s="26"/>
      <c r="O5" s="26"/>
      <c r="Q5" s="26"/>
      <c r="R5" s="27"/>
      <c r="S5" s="27"/>
    </row>
    <row r="6" spans="1:19" x14ac:dyDescent="0.15">
      <c r="A6" s="72">
        <v>3</v>
      </c>
      <c r="B6" s="93">
        <v>45546</v>
      </c>
      <c r="C6" s="80">
        <v>0.55069444444444449</v>
      </c>
      <c r="D6" s="29">
        <v>50</v>
      </c>
      <c r="E6" s="69"/>
      <c r="F6" s="32"/>
      <c r="G6" s="32"/>
      <c r="I6" s="26"/>
      <c r="J6" s="26"/>
      <c r="K6" s="26"/>
      <c r="M6" s="26"/>
      <c r="N6" s="26"/>
      <c r="O6" s="26"/>
      <c r="Q6" s="26"/>
      <c r="R6" s="26"/>
      <c r="S6" s="26"/>
    </row>
    <row r="7" spans="1:19" x14ac:dyDescent="0.15">
      <c r="A7" s="72">
        <v>4</v>
      </c>
      <c r="B7" s="93">
        <v>45546</v>
      </c>
      <c r="C7" s="80">
        <v>0.4513888888888889</v>
      </c>
      <c r="D7" s="28">
        <v>40</v>
      </c>
      <c r="E7" s="25"/>
      <c r="F7" s="26"/>
      <c r="G7" s="26"/>
      <c r="I7" s="26"/>
      <c r="J7" s="26"/>
      <c r="K7" s="26"/>
      <c r="M7" s="26"/>
      <c r="N7" s="26"/>
      <c r="O7" s="26"/>
      <c r="Q7" s="26"/>
      <c r="R7" s="26"/>
      <c r="S7" s="26"/>
    </row>
    <row r="8" spans="1:19" x14ac:dyDescent="0.15">
      <c r="A8" s="72">
        <v>5</v>
      </c>
      <c r="B8" s="93">
        <v>45546</v>
      </c>
      <c r="C8" s="80">
        <v>0.39930555555555558</v>
      </c>
      <c r="D8" s="28">
        <v>30</v>
      </c>
      <c r="E8" s="25"/>
      <c r="F8" s="26"/>
      <c r="G8" s="26"/>
      <c r="I8" s="26"/>
      <c r="J8" s="26"/>
      <c r="K8" s="26"/>
      <c r="M8" s="26"/>
      <c r="N8" s="26"/>
      <c r="O8" s="26"/>
      <c r="Q8" s="26"/>
      <c r="R8" s="26"/>
      <c r="S8" s="26"/>
    </row>
    <row r="9" spans="1:19" x14ac:dyDescent="0.15">
      <c r="A9" s="72">
        <v>6</v>
      </c>
      <c r="B9" s="93">
        <v>45546</v>
      </c>
      <c r="C9" s="80">
        <v>0.75624999999999998</v>
      </c>
      <c r="D9" s="28">
        <v>25</v>
      </c>
      <c r="E9" s="25"/>
      <c r="F9" s="26"/>
      <c r="G9" s="26"/>
      <c r="I9" s="26"/>
      <c r="J9" s="26"/>
      <c r="K9" s="26"/>
      <c r="M9" s="26"/>
      <c r="N9" s="26"/>
      <c r="O9" s="26"/>
      <c r="Q9" s="26"/>
      <c r="R9" s="26"/>
      <c r="S9" s="26"/>
    </row>
    <row r="10" spans="1:19" x14ac:dyDescent="0.15">
      <c r="A10" s="72">
        <v>7</v>
      </c>
      <c r="B10" s="93">
        <v>45546</v>
      </c>
      <c r="C10" s="80">
        <v>0.80833333333333324</v>
      </c>
      <c r="D10" s="28">
        <v>15</v>
      </c>
      <c r="E10" s="25"/>
      <c r="F10" s="26"/>
      <c r="G10" s="26"/>
      <c r="I10" s="26"/>
      <c r="J10" s="26"/>
      <c r="K10" s="26"/>
      <c r="M10" s="26"/>
      <c r="N10" s="26"/>
      <c r="O10" s="26"/>
      <c r="Q10" s="26"/>
      <c r="R10" s="26"/>
      <c r="S10" s="26"/>
    </row>
    <row r="11" spans="1:19" x14ac:dyDescent="0.15">
      <c r="A11" s="72">
        <v>8</v>
      </c>
      <c r="B11" s="93">
        <v>45546</v>
      </c>
      <c r="C11" s="80">
        <v>0.8618055555555556</v>
      </c>
      <c r="D11" s="28">
        <v>10</v>
      </c>
      <c r="E11" s="25"/>
      <c r="F11" s="26"/>
      <c r="G11" s="26"/>
      <c r="I11" s="26"/>
      <c r="J11" s="26"/>
      <c r="K11" s="26"/>
      <c r="M11" s="26"/>
      <c r="N11" s="26"/>
      <c r="O11" s="26"/>
      <c r="Q11" s="26"/>
      <c r="R11" s="26"/>
      <c r="S11" s="26"/>
    </row>
    <row r="12" spans="1:19" x14ac:dyDescent="0.15">
      <c r="A12" s="72">
        <v>9</v>
      </c>
      <c r="B12" s="93">
        <v>45547</v>
      </c>
      <c r="C12" s="80">
        <v>0.38055555555555554</v>
      </c>
      <c r="D12" s="28">
        <v>5</v>
      </c>
      <c r="E12" s="90"/>
      <c r="F12" s="26"/>
      <c r="G12" s="26"/>
      <c r="I12" s="26"/>
      <c r="J12" s="26"/>
      <c r="K12" s="26"/>
      <c r="M12" s="32"/>
      <c r="N12" s="32"/>
      <c r="O12" s="32"/>
      <c r="Q12" s="26"/>
      <c r="R12" s="26"/>
      <c r="S12" s="26"/>
    </row>
    <row r="13" spans="1:19" x14ac:dyDescent="0.15">
      <c r="A13" s="72">
        <v>10</v>
      </c>
      <c r="B13" s="93">
        <v>45547</v>
      </c>
      <c r="C13" s="80">
        <v>0.42569444444444443</v>
      </c>
      <c r="D13" s="28">
        <v>0</v>
      </c>
      <c r="E13" s="25"/>
      <c r="F13" s="26"/>
      <c r="G13" s="26"/>
      <c r="I13" s="26"/>
      <c r="J13" s="26"/>
      <c r="K13" s="26"/>
      <c r="M13" s="26"/>
      <c r="N13" s="26"/>
      <c r="O13" s="26"/>
      <c r="Q13" s="26"/>
      <c r="R13" s="26"/>
      <c r="S13" s="26"/>
    </row>
    <row r="14" spans="1:19" x14ac:dyDescent="0.15">
      <c r="A14" s="72">
        <v>11</v>
      </c>
      <c r="B14" s="93">
        <v>45547</v>
      </c>
      <c r="C14" s="80">
        <v>0.4777777777777778</v>
      </c>
      <c r="D14" s="28">
        <v>-5</v>
      </c>
      <c r="E14" s="90"/>
      <c r="F14" s="27"/>
      <c r="G14" s="26"/>
      <c r="I14" s="27"/>
      <c r="J14" s="27"/>
      <c r="K14" s="26"/>
      <c r="M14" s="27"/>
      <c r="N14" s="27"/>
      <c r="O14" s="26"/>
      <c r="Q14" s="27"/>
      <c r="R14" s="27"/>
      <c r="S14" s="26"/>
    </row>
    <row r="15" spans="1:19" x14ac:dyDescent="0.15">
      <c r="A15" s="72">
        <v>12</v>
      </c>
      <c r="B15" s="93">
        <v>45547</v>
      </c>
      <c r="C15" s="80">
        <v>0.52986111111111112</v>
      </c>
      <c r="D15" s="28">
        <v>-10</v>
      </c>
      <c r="E15" s="90"/>
      <c r="F15" s="27"/>
      <c r="G15" s="26"/>
      <c r="I15" s="27"/>
      <c r="J15" s="27"/>
      <c r="K15" s="26"/>
      <c r="M15" s="27"/>
      <c r="N15" s="27"/>
      <c r="O15" s="26"/>
      <c r="Q15" s="26"/>
      <c r="R15" s="26"/>
      <c r="S15" s="26"/>
    </row>
    <row r="16" spans="1:19" x14ac:dyDescent="0.15">
      <c r="A16" s="72">
        <v>13</v>
      </c>
      <c r="B16" s="93">
        <v>45547</v>
      </c>
      <c r="C16" s="82">
        <v>0.58750000000000002</v>
      </c>
      <c r="D16" s="28">
        <v>-20</v>
      </c>
      <c r="E16" s="25"/>
      <c r="F16" s="26"/>
      <c r="G16" s="26"/>
      <c r="I16" s="26"/>
      <c r="J16" s="26"/>
      <c r="K16" s="26"/>
      <c r="M16" s="26"/>
      <c r="N16" s="26"/>
      <c r="O16" s="26"/>
      <c r="Q16" s="26"/>
      <c r="R16" s="26"/>
      <c r="S16" s="26"/>
    </row>
    <row r="17" spans="1:19" x14ac:dyDescent="0.15">
      <c r="A17" s="72">
        <v>14</v>
      </c>
      <c r="B17" s="93">
        <v>45547</v>
      </c>
      <c r="C17" s="83">
        <v>0.64236111111111105</v>
      </c>
      <c r="D17" s="28">
        <v>-25</v>
      </c>
      <c r="E17" s="25"/>
      <c r="F17" s="26"/>
      <c r="G17" s="26"/>
      <c r="I17" s="26"/>
      <c r="J17" s="26"/>
      <c r="K17" s="26"/>
      <c r="M17" s="26"/>
      <c r="N17" s="26"/>
      <c r="O17" s="26"/>
      <c r="Q17" s="26"/>
      <c r="R17" s="26"/>
      <c r="S17" s="26"/>
    </row>
    <row r="18" spans="1:19" x14ac:dyDescent="0.15">
      <c r="A18" s="72">
        <v>15</v>
      </c>
      <c r="B18" s="93">
        <v>45547</v>
      </c>
      <c r="C18" s="83">
        <v>0.69861111111111107</v>
      </c>
      <c r="D18" s="28">
        <v>-30</v>
      </c>
      <c r="E18" s="25"/>
      <c r="F18" s="26"/>
      <c r="G18" s="26"/>
      <c r="I18" s="26"/>
      <c r="J18" s="26"/>
      <c r="K18" s="26"/>
      <c r="M18" s="26"/>
      <c r="N18" s="26"/>
      <c r="O18" s="26"/>
      <c r="Q18" s="26"/>
      <c r="R18" s="26"/>
      <c r="S18" s="26"/>
    </row>
    <row r="26" spans="1:19" x14ac:dyDescent="0.15">
      <c r="C26" t="s">
        <v>28</v>
      </c>
      <c r="D26" s="58"/>
      <c r="E26"/>
    </row>
    <row r="27" spans="1:19" x14ac:dyDescent="0.15">
      <c r="C27" t="s">
        <v>29</v>
      </c>
      <c r="D27" s="58"/>
      <c r="E27"/>
    </row>
    <row r="28" spans="1:19" x14ac:dyDescent="0.15">
      <c r="D28" s="58"/>
      <c r="E28"/>
    </row>
    <row r="29" spans="1:19" x14ac:dyDescent="0.15">
      <c r="D29" s="58"/>
      <c r="E29"/>
    </row>
    <row r="30" spans="1:19" x14ac:dyDescent="0.15">
      <c r="C30" t="s">
        <v>30</v>
      </c>
      <c r="D30" s="58"/>
      <c r="E30"/>
    </row>
  </sheetData>
  <mergeCells count="8">
    <mergeCell ref="E2:G2"/>
    <mergeCell ref="I2:K2"/>
    <mergeCell ref="M2:O2"/>
    <mergeCell ref="Q2:S2"/>
    <mergeCell ref="T1:T1048576"/>
    <mergeCell ref="P1:P1048576"/>
    <mergeCell ref="L1:L1048576"/>
    <mergeCell ref="H1:H1048576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A895-BAFE-490B-979A-549E70B25C8A}">
  <dimension ref="A1:W30"/>
  <sheetViews>
    <sheetView tabSelected="1" topLeftCell="A7" zoomScale="175" zoomScaleNormal="175" workbookViewId="0">
      <selection activeCell="B19" sqref="B19"/>
    </sheetView>
  </sheetViews>
  <sheetFormatPr defaultColWidth="8.75" defaultRowHeight="14.25" x14ac:dyDescent="0.15"/>
  <cols>
    <col min="1" max="1" width="5.625" style="2" bestFit="1" customWidth="1"/>
    <col min="2" max="2" width="14.25" style="2" customWidth="1"/>
    <col min="4" max="4" width="12.625" customWidth="1"/>
    <col min="5" max="5" width="8.75" style="21"/>
    <col min="8" max="8" width="2" style="112" customWidth="1"/>
    <col min="9" max="9" width="9.625" style="21" bestFit="1" customWidth="1"/>
    <col min="12" max="12" width="1.75" style="112" customWidth="1"/>
    <col min="13" max="14" width="9.5" bestFit="1" customWidth="1"/>
    <col min="15" max="15" width="10.625" customWidth="1"/>
    <col min="16" max="16" width="1.625" style="112" customWidth="1"/>
    <col min="17" max="18" width="9.5" bestFit="1" customWidth="1"/>
    <col min="19" max="19" width="8.75" customWidth="1"/>
    <col min="20" max="20" width="1.75" style="111" customWidth="1"/>
    <col min="21" max="23" width="9.5" style="33" bestFit="1" customWidth="1"/>
  </cols>
  <sheetData>
    <row r="1" spans="1:23" x14ac:dyDescent="0.15">
      <c r="C1" s="3" t="s">
        <v>43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  <c r="S1" s="3"/>
    </row>
    <row r="2" spans="1:23" x14ac:dyDescent="0.15">
      <c r="A2" s="40"/>
      <c r="B2" s="41"/>
      <c r="C2" s="41"/>
      <c r="D2" s="42"/>
      <c r="E2" s="113" t="s">
        <v>48</v>
      </c>
      <c r="F2" s="109"/>
      <c r="G2" s="109"/>
      <c r="I2" s="114" t="s">
        <v>49</v>
      </c>
      <c r="J2" s="109"/>
      <c r="K2" s="109"/>
      <c r="M2" s="113" t="s">
        <v>50</v>
      </c>
      <c r="N2" s="109"/>
      <c r="O2" s="109"/>
      <c r="Q2" s="113" t="s">
        <v>51</v>
      </c>
      <c r="R2" s="109"/>
      <c r="S2" s="109"/>
      <c r="U2" s="115"/>
      <c r="V2" s="115"/>
      <c r="W2" s="115"/>
    </row>
    <row r="3" spans="1:23" ht="14.25" customHeight="1" x14ac:dyDescent="0.15">
      <c r="A3" s="70" t="s">
        <v>17</v>
      </c>
      <c r="B3" s="94" t="s">
        <v>44</v>
      </c>
      <c r="C3" s="39" t="s">
        <v>0</v>
      </c>
      <c r="D3" s="71" t="s">
        <v>1</v>
      </c>
      <c r="E3" s="39" t="s">
        <v>25</v>
      </c>
      <c r="F3" s="39" t="s">
        <v>26</v>
      </c>
      <c r="G3" s="39" t="s">
        <v>27</v>
      </c>
      <c r="I3" s="67" t="s">
        <v>25</v>
      </c>
      <c r="J3" s="67" t="s">
        <v>26</v>
      </c>
      <c r="K3" s="67" t="s">
        <v>27</v>
      </c>
      <c r="M3" s="67" t="s">
        <v>25</v>
      </c>
      <c r="N3" s="67" t="s">
        <v>26</v>
      </c>
      <c r="O3" s="67" t="s">
        <v>27</v>
      </c>
      <c r="Q3" s="67" t="s">
        <v>25</v>
      </c>
      <c r="R3" s="67" t="s">
        <v>26</v>
      </c>
      <c r="S3" s="67" t="s">
        <v>27</v>
      </c>
      <c r="U3" s="77"/>
      <c r="V3" s="77"/>
      <c r="W3" s="77"/>
    </row>
    <row r="4" spans="1:23" ht="14.25" customHeight="1" x14ac:dyDescent="0.15">
      <c r="A4" s="72">
        <v>1</v>
      </c>
      <c r="B4" s="93">
        <v>45546</v>
      </c>
      <c r="C4" s="80">
        <v>0.67847222222222225</v>
      </c>
      <c r="D4" s="28">
        <v>70</v>
      </c>
      <c r="E4" s="84"/>
      <c r="F4" s="84"/>
      <c r="G4" s="84"/>
      <c r="I4" s="85"/>
      <c r="J4" s="86"/>
      <c r="K4" s="86"/>
      <c r="M4" s="86"/>
      <c r="N4" s="86"/>
      <c r="O4" s="86"/>
      <c r="Q4" s="86"/>
      <c r="R4" s="86"/>
      <c r="S4" s="86"/>
      <c r="U4" s="78"/>
      <c r="V4" s="78"/>
      <c r="W4" s="78"/>
    </row>
    <row r="5" spans="1:23" ht="14.25" customHeight="1" x14ac:dyDescent="0.15">
      <c r="A5" s="72">
        <v>2</v>
      </c>
      <c r="B5" s="93">
        <v>45546</v>
      </c>
      <c r="C5" s="80">
        <v>0.61597222222222225</v>
      </c>
      <c r="D5" s="28">
        <v>60</v>
      </c>
      <c r="E5" s="84"/>
      <c r="F5" s="84"/>
      <c r="G5" s="84"/>
      <c r="I5" s="85"/>
      <c r="J5" s="86"/>
      <c r="K5" s="86"/>
      <c r="M5" s="86"/>
      <c r="N5" s="86"/>
      <c r="O5" s="86"/>
      <c r="Q5" s="86"/>
      <c r="R5" s="86"/>
      <c r="S5" s="86"/>
      <c r="U5" s="78"/>
      <c r="V5" s="78"/>
      <c r="W5" s="78"/>
    </row>
    <row r="6" spans="1:23" x14ac:dyDescent="0.15">
      <c r="A6" s="72">
        <v>3</v>
      </c>
      <c r="B6" s="93">
        <v>45546</v>
      </c>
      <c r="C6" s="81">
        <v>0.55347222222222225</v>
      </c>
      <c r="D6" s="29">
        <v>50</v>
      </c>
      <c r="E6" s="84"/>
      <c r="F6" s="84"/>
      <c r="G6" s="84"/>
      <c r="I6" s="87"/>
      <c r="J6" s="88"/>
      <c r="K6" s="88"/>
      <c r="M6" s="86"/>
      <c r="N6" s="86"/>
      <c r="O6" s="86"/>
      <c r="Q6" s="86"/>
      <c r="R6" s="86"/>
      <c r="S6" s="86"/>
      <c r="U6" s="78"/>
      <c r="V6" s="78"/>
      <c r="W6" s="78"/>
    </row>
    <row r="7" spans="1:23" x14ac:dyDescent="0.15">
      <c r="A7" s="72">
        <v>4</v>
      </c>
      <c r="B7" s="93">
        <v>45546</v>
      </c>
      <c r="C7" s="80">
        <v>0.45416666666666666</v>
      </c>
      <c r="D7" s="28">
        <v>40</v>
      </c>
      <c r="E7" s="84"/>
      <c r="F7" s="84"/>
      <c r="G7" s="84"/>
      <c r="I7" s="85"/>
      <c r="J7" s="86"/>
      <c r="K7" s="86"/>
      <c r="M7" s="86"/>
      <c r="N7" s="86"/>
      <c r="O7" s="86"/>
      <c r="Q7" s="86"/>
      <c r="R7" s="86"/>
      <c r="S7" s="86"/>
      <c r="U7" s="78"/>
      <c r="V7" s="78"/>
      <c r="W7" s="78"/>
    </row>
    <row r="8" spans="1:23" x14ac:dyDescent="0.15">
      <c r="A8" s="72">
        <v>5</v>
      </c>
      <c r="B8" s="93">
        <v>45546</v>
      </c>
      <c r="C8" s="80">
        <v>0.40208333333333335</v>
      </c>
      <c r="D8" s="28">
        <v>30</v>
      </c>
      <c r="E8" s="84"/>
      <c r="F8" s="84"/>
      <c r="G8" s="84"/>
      <c r="I8" s="85"/>
      <c r="J8" s="86"/>
      <c r="K8" s="86"/>
      <c r="M8" s="86"/>
      <c r="N8" s="86"/>
      <c r="O8" s="86"/>
      <c r="Q8" s="86"/>
      <c r="R8" s="86"/>
      <c r="S8" s="86"/>
      <c r="U8" s="78"/>
      <c r="V8" s="78"/>
      <c r="W8" s="78"/>
    </row>
    <row r="9" spans="1:23" x14ac:dyDescent="0.15">
      <c r="A9" s="72">
        <v>6</v>
      </c>
      <c r="B9" s="93">
        <v>45546</v>
      </c>
      <c r="C9" s="80">
        <v>0.75902777777777775</v>
      </c>
      <c r="D9" s="28">
        <v>25</v>
      </c>
      <c r="E9" s="84"/>
      <c r="F9" s="84"/>
      <c r="G9" s="84"/>
      <c r="I9" s="85"/>
      <c r="J9" s="86"/>
      <c r="K9" s="86"/>
      <c r="M9" s="86"/>
      <c r="N9" s="86"/>
      <c r="O9" s="86"/>
      <c r="Q9" s="86"/>
      <c r="R9" s="86"/>
      <c r="S9" s="86"/>
      <c r="U9" s="78"/>
      <c r="V9" s="78"/>
      <c r="W9" s="78"/>
    </row>
    <row r="10" spans="1:23" x14ac:dyDescent="0.15">
      <c r="A10" s="72">
        <v>7</v>
      </c>
      <c r="B10" s="93">
        <v>45546</v>
      </c>
      <c r="C10" s="80">
        <v>0.81041666666666667</v>
      </c>
      <c r="D10" s="28">
        <v>15</v>
      </c>
      <c r="E10" s="84"/>
      <c r="F10" s="84"/>
      <c r="G10" s="84"/>
      <c r="I10" s="85"/>
      <c r="J10" s="86"/>
      <c r="K10" s="86"/>
      <c r="M10" s="86"/>
      <c r="N10" s="86"/>
      <c r="O10" s="86"/>
      <c r="Q10" s="86"/>
      <c r="R10" s="86"/>
      <c r="S10" s="86"/>
      <c r="U10" s="78"/>
      <c r="V10" s="78"/>
      <c r="W10" s="78"/>
    </row>
    <row r="11" spans="1:23" x14ac:dyDescent="0.15">
      <c r="A11" s="72">
        <v>8</v>
      </c>
      <c r="B11" s="93">
        <v>45546</v>
      </c>
      <c r="C11" s="80">
        <v>0.86388888888888893</v>
      </c>
      <c r="D11" s="28">
        <v>10</v>
      </c>
      <c r="E11" s="84"/>
      <c r="F11" s="84"/>
      <c r="G11" s="84"/>
      <c r="I11" s="85"/>
      <c r="J11" s="86"/>
      <c r="K11" s="86"/>
      <c r="M11" s="86"/>
      <c r="N11" s="86"/>
      <c r="O11" s="86"/>
      <c r="Q11" s="86"/>
      <c r="R11" s="86"/>
      <c r="S11" s="86"/>
      <c r="U11" s="78"/>
      <c r="V11" s="78"/>
      <c r="W11" s="78"/>
    </row>
    <row r="12" spans="1:23" x14ac:dyDescent="0.15">
      <c r="A12" s="72">
        <v>9</v>
      </c>
      <c r="B12" s="93">
        <v>45547</v>
      </c>
      <c r="C12" s="80">
        <v>0.3833333333333333</v>
      </c>
      <c r="D12" s="28">
        <v>5</v>
      </c>
      <c r="E12" s="84"/>
      <c r="F12" s="84"/>
      <c r="G12" s="84"/>
      <c r="I12" s="85"/>
      <c r="J12" s="86"/>
      <c r="K12" s="86"/>
      <c r="M12" s="86"/>
      <c r="N12" s="86"/>
      <c r="O12" s="86"/>
      <c r="Q12" s="88"/>
      <c r="R12" s="88"/>
      <c r="S12" s="88"/>
      <c r="U12" s="78"/>
      <c r="V12" s="78"/>
      <c r="W12" s="78"/>
    </row>
    <row r="13" spans="1:23" x14ac:dyDescent="0.15">
      <c r="A13" s="72">
        <v>10</v>
      </c>
      <c r="B13" s="93">
        <v>45547</v>
      </c>
      <c r="C13" s="80">
        <v>0.4284722222222222</v>
      </c>
      <c r="D13" s="28">
        <v>0</v>
      </c>
      <c r="E13" s="84"/>
      <c r="F13" s="84"/>
      <c r="G13" s="84"/>
      <c r="I13" s="85"/>
      <c r="J13" s="86"/>
      <c r="K13" s="86"/>
      <c r="M13" s="86"/>
      <c r="N13" s="86"/>
      <c r="O13" s="86"/>
      <c r="Q13" s="86"/>
      <c r="R13" s="86"/>
      <c r="S13" s="86"/>
      <c r="U13" s="78"/>
      <c r="V13" s="78"/>
      <c r="W13" s="78"/>
    </row>
    <row r="14" spans="1:23" x14ac:dyDescent="0.15">
      <c r="A14" s="72">
        <v>11</v>
      </c>
      <c r="B14" s="93">
        <v>45547</v>
      </c>
      <c r="C14" s="81">
        <v>0.48055555555555557</v>
      </c>
      <c r="D14" s="28">
        <v>-5</v>
      </c>
      <c r="E14" s="27"/>
      <c r="F14" s="27"/>
      <c r="G14" s="84"/>
      <c r="I14" s="100"/>
      <c r="J14" s="60"/>
      <c r="K14" s="86"/>
      <c r="M14" s="60"/>
      <c r="N14" s="60"/>
      <c r="O14" s="86"/>
      <c r="Q14" s="60"/>
      <c r="R14" s="60"/>
      <c r="S14" s="86"/>
      <c r="U14" s="78"/>
      <c r="V14" s="78"/>
      <c r="W14" s="78"/>
    </row>
    <row r="15" spans="1:23" x14ac:dyDescent="0.15">
      <c r="A15" s="72">
        <v>12</v>
      </c>
      <c r="B15" s="93">
        <v>45547</v>
      </c>
      <c r="C15" s="80">
        <v>0.53263888888888888</v>
      </c>
      <c r="D15" s="28">
        <v>-10</v>
      </c>
      <c r="E15" s="27"/>
      <c r="F15" s="27"/>
      <c r="G15" s="84"/>
      <c r="I15" s="100"/>
      <c r="J15" s="60"/>
      <c r="K15" s="86"/>
      <c r="M15" s="60"/>
      <c r="N15" s="60"/>
      <c r="O15" s="86"/>
      <c r="Q15" s="60"/>
      <c r="R15" s="60"/>
      <c r="S15" s="86"/>
      <c r="U15" s="78"/>
      <c r="V15" s="78"/>
      <c r="W15" s="78"/>
    </row>
    <row r="16" spans="1:23" x14ac:dyDescent="0.15">
      <c r="A16" s="72">
        <v>13</v>
      </c>
      <c r="B16" s="93">
        <v>45547</v>
      </c>
      <c r="C16" s="82">
        <v>0.59027777777777779</v>
      </c>
      <c r="D16" s="28">
        <v>-20</v>
      </c>
      <c r="E16" s="27"/>
      <c r="F16" s="27"/>
      <c r="G16" s="84"/>
      <c r="I16" s="100"/>
      <c r="J16" s="60"/>
      <c r="K16" s="86"/>
      <c r="M16" s="60"/>
      <c r="N16" s="101"/>
      <c r="O16" s="86"/>
      <c r="Q16" s="60"/>
      <c r="R16" s="60"/>
      <c r="S16" s="86"/>
      <c r="U16" s="78"/>
      <c r="V16" s="78"/>
      <c r="W16" s="78"/>
    </row>
    <row r="17" spans="1:23" x14ac:dyDescent="0.15">
      <c r="A17" s="72">
        <v>14</v>
      </c>
      <c r="B17" s="93">
        <v>45547</v>
      </c>
      <c r="C17" s="83">
        <v>0.64513888888888882</v>
      </c>
      <c r="D17" s="28">
        <v>-25</v>
      </c>
      <c r="E17" s="84"/>
      <c r="F17" s="84"/>
      <c r="G17" s="84"/>
      <c r="I17" s="100"/>
      <c r="J17" s="60"/>
      <c r="K17" s="86"/>
      <c r="M17" s="86"/>
      <c r="N17" s="86"/>
      <c r="O17" s="86"/>
      <c r="Q17" s="86"/>
      <c r="R17" s="86"/>
      <c r="S17" s="86"/>
      <c r="U17" s="78"/>
      <c r="V17" s="78"/>
      <c r="W17" s="78"/>
    </row>
    <row r="18" spans="1:23" x14ac:dyDescent="0.15">
      <c r="A18" s="72">
        <v>15</v>
      </c>
      <c r="B18" s="93">
        <v>45547</v>
      </c>
      <c r="C18" s="83">
        <v>0.7006944444444444</v>
      </c>
      <c r="D18" s="28">
        <v>-30</v>
      </c>
      <c r="E18" s="84"/>
      <c r="F18" s="84"/>
      <c r="G18" s="84"/>
      <c r="I18" s="85"/>
      <c r="J18" s="86"/>
      <c r="K18" s="86"/>
      <c r="M18" s="86"/>
      <c r="N18" s="86"/>
      <c r="O18" s="86"/>
      <c r="Q18" s="86"/>
      <c r="R18" s="86"/>
      <c r="S18" s="86"/>
      <c r="U18" s="78"/>
      <c r="V18" s="78"/>
      <c r="W18" s="78"/>
    </row>
    <row r="19" spans="1:23" x14ac:dyDescent="0.15">
      <c r="A19" s="72">
        <v>16</v>
      </c>
      <c r="B19" s="93">
        <v>45554</v>
      </c>
      <c r="C19" s="83">
        <v>0.7006944444444444</v>
      </c>
      <c r="D19" s="28">
        <v>-35</v>
      </c>
      <c r="U19" s="79"/>
      <c r="V19" s="79"/>
      <c r="W19" s="79"/>
    </row>
    <row r="25" spans="1:23" x14ac:dyDescent="0.15">
      <c r="M25" s="75" t="s">
        <v>37</v>
      </c>
      <c r="N25" s="75" t="s">
        <v>38</v>
      </c>
      <c r="O25" s="75" t="s">
        <v>39</v>
      </c>
    </row>
    <row r="26" spans="1:23" ht="28.5" x14ac:dyDescent="0.15">
      <c r="C26" t="s">
        <v>28</v>
      </c>
      <c r="D26" s="58"/>
      <c r="E26"/>
      <c r="I26"/>
      <c r="M26" s="75" t="s">
        <v>41</v>
      </c>
      <c r="N26" s="75" t="s">
        <v>40</v>
      </c>
      <c r="O26" s="76" t="s">
        <v>42</v>
      </c>
    </row>
    <row r="27" spans="1:23" x14ac:dyDescent="0.15">
      <c r="C27" t="s">
        <v>29</v>
      </c>
      <c r="D27" s="58"/>
      <c r="E27"/>
      <c r="I27"/>
    </row>
    <row r="28" spans="1:23" x14ac:dyDescent="0.15">
      <c r="D28" s="58"/>
      <c r="E28"/>
      <c r="I28"/>
    </row>
    <row r="29" spans="1:23" x14ac:dyDescent="0.15">
      <c r="D29" s="58"/>
      <c r="E29"/>
      <c r="I29"/>
    </row>
    <row r="30" spans="1:23" x14ac:dyDescent="0.15">
      <c r="C30" t="s">
        <v>30</v>
      </c>
      <c r="D30" s="58"/>
      <c r="E30"/>
      <c r="I30"/>
    </row>
  </sheetData>
  <mergeCells count="9">
    <mergeCell ref="E2:G2"/>
    <mergeCell ref="I2:K2"/>
    <mergeCell ref="M2:O2"/>
    <mergeCell ref="Q2:S2"/>
    <mergeCell ref="U2:W2"/>
    <mergeCell ref="H1:H1048576"/>
    <mergeCell ref="L1:L1048576"/>
    <mergeCell ref="P1:P1048576"/>
    <mergeCell ref="T1:T1048576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C43D-3807-44A6-891D-13025FF7296F}">
  <sheetPr>
    <tabColor indexed="48"/>
  </sheetPr>
  <dimension ref="A1:L30"/>
  <sheetViews>
    <sheetView zoomScale="175" zoomScaleNormal="175" workbookViewId="0">
      <selection activeCell="F9" sqref="F9"/>
    </sheetView>
  </sheetViews>
  <sheetFormatPr defaultColWidth="8.75" defaultRowHeight="14.25" x14ac:dyDescent="0.15"/>
  <cols>
    <col min="1" max="1" width="5.625" style="2" bestFit="1" customWidth="1"/>
    <col min="2" max="2" width="15.5" style="2" customWidth="1"/>
    <col min="3" max="3" width="10.125" customWidth="1"/>
    <col min="4" max="4" width="12.625" customWidth="1"/>
    <col min="5" max="5" width="8.625" customWidth="1"/>
    <col min="6" max="6" width="8.75" customWidth="1"/>
    <col min="7" max="7" width="9.5" bestFit="1" customWidth="1"/>
    <col min="8" max="8" width="1.25" style="111" customWidth="1"/>
    <col min="9" max="11" width="9.5" style="33" bestFit="1" customWidth="1"/>
    <col min="12" max="12" width="12.125" customWidth="1"/>
  </cols>
  <sheetData>
    <row r="1" spans="1:11" x14ac:dyDescent="0.15">
      <c r="C1" s="3" t="s">
        <v>16</v>
      </c>
      <c r="D1" s="3"/>
      <c r="E1" s="3"/>
      <c r="F1" s="3"/>
      <c r="J1" s="3"/>
    </row>
    <row r="2" spans="1:11" x14ac:dyDescent="0.15">
      <c r="A2" s="40"/>
      <c r="B2" s="41"/>
      <c r="C2" s="41"/>
      <c r="D2" s="42"/>
      <c r="E2" s="116" t="s">
        <v>53</v>
      </c>
      <c r="F2" s="109"/>
      <c r="G2" s="109"/>
      <c r="I2" s="116" t="s">
        <v>54</v>
      </c>
      <c r="J2" s="109"/>
      <c r="K2" s="109"/>
    </row>
    <row r="3" spans="1:11" ht="14.25" customHeight="1" x14ac:dyDescent="0.15">
      <c r="A3" s="64" t="s">
        <v>17</v>
      </c>
      <c r="B3" s="65" t="s">
        <v>44</v>
      </c>
      <c r="C3" s="65" t="s">
        <v>0</v>
      </c>
      <c r="D3" s="66" t="s">
        <v>1</v>
      </c>
      <c r="E3" s="67" t="s">
        <v>25</v>
      </c>
      <c r="F3" s="67" t="s">
        <v>26</v>
      </c>
      <c r="G3" s="67" t="s">
        <v>27</v>
      </c>
      <c r="I3" s="67" t="s">
        <v>25</v>
      </c>
      <c r="J3" s="67" t="s">
        <v>26</v>
      </c>
      <c r="K3" s="67" t="s">
        <v>27</v>
      </c>
    </row>
    <row r="4" spans="1:11" ht="14.25" customHeight="1" x14ac:dyDescent="0.15">
      <c r="A4" s="73">
        <v>1</v>
      </c>
      <c r="B4" s="95">
        <v>45546</v>
      </c>
      <c r="C4" s="63">
        <v>0.68125000000000002</v>
      </c>
      <c r="D4" s="1">
        <v>70</v>
      </c>
      <c r="E4" s="49"/>
      <c r="F4" s="49"/>
      <c r="G4" s="49"/>
      <c r="I4" s="86"/>
      <c r="J4" s="86"/>
      <c r="K4" s="86"/>
    </row>
    <row r="5" spans="1:11" ht="14.25" customHeight="1" x14ac:dyDescent="0.15">
      <c r="A5" s="73">
        <v>2</v>
      </c>
      <c r="B5" s="95">
        <v>45546</v>
      </c>
      <c r="C5" s="62">
        <v>0.61875000000000002</v>
      </c>
      <c r="D5" s="1">
        <v>60</v>
      </c>
      <c r="E5" s="59"/>
      <c r="F5" s="60"/>
      <c r="G5" s="60"/>
      <c r="I5" s="86"/>
      <c r="J5" s="86"/>
      <c r="K5" s="86"/>
    </row>
    <row r="6" spans="1:11" x14ac:dyDescent="0.15">
      <c r="A6" s="73">
        <v>3</v>
      </c>
      <c r="B6" s="95">
        <v>45546</v>
      </c>
      <c r="C6" s="62">
        <v>0.55625000000000002</v>
      </c>
      <c r="D6" s="61">
        <v>50</v>
      </c>
      <c r="E6" s="59"/>
      <c r="F6" s="59"/>
      <c r="G6" s="59"/>
      <c r="I6" s="86"/>
      <c r="J6" s="86"/>
      <c r="K6" s="86"/>
    </row>
    <row r="7" spans="1:11" x14ac:dyDescent="0.15">
      <c r="A7" s="73">
        <v>4</v>
      </c>
      <c r="B7" s="95">
        <v>45546</v>
      </c>
      <c r="C7" s="23">
        <v>0.45624999999999999</v>
      </c>
      <c r="D7" s="1">
        <v>40</v>
      </c>
      <c r="E7" s="59"/>
      <c r="F7" s="59"/>
      <c r="G7" s="59"/>
      <c r="I7" s="86"/>
      <c r="J7" s="86"/>
      <c r="K7" s="86"/>
    </row>
    <row r="8" spans="1:11" x14ac:dyDescent="0.15">
      <c r="A8" s="73">
        <v>5</v>
      </c>
      <c r="B8" s="95">
        <v>45546</v>
      </c>
      <c r="C8" s="62">
        <v>0.40416666666666662</v>
      </c>
      <c r="D8" s="1">
        <v>30</v>
      </c>
      <c r="E8" s="59"/>
      <c r="F8" s="59"/>
      <c r="G8" s="59"/>
      <c r="I8" s="86"/>
      <c r="J8" s="86"/>
      <c r="K8" s="86"/>
    </row>
    <row r="9" spans="1:11" x14ac:dyDescent="0.15">
      <c r="A9" s="73">
        <v>6</v>
      </c>
      <c r="B9" s="95">
        <v>45546</v>
      </c>
      <c r="C9" s="62">
        <v>0.76111111111111107</v>
      </c>
      <c r="D9" s="1">
        <v>25</v>
      </c>
      <c r="E9" s="59"/>
      <c r="F9" s="59"/>
      <c r="G9" s="59"/>
      <c r="I9" s="86"/>
      <c r="J9" s="86"/>
      <c r="K9" s="86"/>
    </row>
    <row r="10" spans="1:11" x14ac:dyDescent="0.15">
      <c r="A10" s="73">
        <v>7</v>
      </c>
      <c r="B10" s="95">
        <v>45546</v>
      </c>
      <c r="C10" s="62">
        <v>0.8125</v>
      </c>
      <c r="D10" s="1">
        <v>15</v>
      </c>
      <c r="E10" s="59"/>
      <c r="F10" s="59"/>
      <c r="G10" s="59"/>
      <c r="I10" s="86"/>
      <c r="J10" s="86"/>
      <c r="K10" s="86"/>
    </row>
    <row r="11" spans="1:11" x14ac:dyDescent="0.15">
      <c r="A11" s="73">
        <v>8</v>
      </c>
      <c r="B11" s="95">
        <v>45546</v>
      </c>
      <c r="C11" s="62">
        <v>0.86597222222222225</v>
      </c>
      <c r="D11" s="1">
        <v>10</v>
      </c>
      <c r="E11" s="59"/>
      <c r="F11" s="59"/>
      <c r="G11" s="59"/>
      <c r="I11" s="86"/>
      <c r="J11" s="86"/>
      <c r="K11" s="86"/>
    </row>
    <row r="12" spans="1:11" x14ac:dyDescent="0.15">
      <c r="A12" s="73">
        <v>9</v>
      </c>
      <c r="B12" s="95">
        <v>45547</v>
      </c>
      <c r="C12" s="62">
        <v>0.38611111111111113</v>
      </c>
      <c r="D12" s="1">
        <v>5</v>
      </c>
      <c r="E12" s="59"/>
      <c r="F12" s="59"/>
      <c r="G12" s="59"/>
      <c r="I12" s="86"/>
      <c r="J12" s="86"/>
      <c r="K12" s="86"/>
    </row>
    <row r="13" spans="1:11" x14ac:dyDescent="0.15">
      <c r="A13" s="73">
        <v>10</v>
      </c>
      <c r="B13" s="95">
        <v>45547</v>
      </c>
      <c r="C13" s="62">
        <v>0.43124999999999997</v>
      </c>
      <c r="D13" s="1">
        <v>0</v>
      </c>
      <c r="E13" s="59"/>
      <c r="F13" s="59"/>
      <c r="G13" s="59"/>
      <c r="I13" s="86"/>
      <c r="J13" s="86"/>
      <c r="K13" s="86"/>
    </row>
    <row r="14" spans="1:11" x14ac:dyDescent="0.15">
      <c r="A14" s="73">
        <v>11</v>
      </c>
      <c r="B14" s="95">
        <v>45547</v>
      </c>
      <c r="C14" s="68">
        <v>0.48333333333333334</v>
      </c>
      <c r="D14" s="1">
        <v>-5</v>
      </c>
      <c r="E14" s="60"/>
      <c r="F14" s="60"/>
      <c r="G14" s="59"/>
      <c r="I14" s="60"/>
      <c r="J14" s="60"/>
      <c r="K14" s="86"/>
    </row>
    <row r="15" spans="1:11" x14ac:dyDescent="0.15">
      <c r="A15" s="73">
        <v>12</v>
      </c>
      <c r="B15" s="95">
        <v>45547</v>
      </c>
      <c r="C15" s="62">
        <v>0.53541666666666665</v>
      </c>
      <c r="D15" s="1">
        <v>-10</v>
      </c>
      <c r="E15" s="60"/>
      <c r="F15" s="60"/>
      <c r="G15" s="59"/>
      <c r="I15" s="60"/>
      <c r="J15" s="60"/>
      <c r="K15" s="86"/>
    </row>
    <row r="16" spans="1:11" x14ac:dyDescent="0.15">
      <c r="A16" s="73">
        <v>13</v>
      </c>
      <c r="B16" s="95">
        <v>45547</v>
      </c>
      <c r="C16" s="62">
        <v>0.59305555555555556</v>
      </c>
      <c r="D16" s="1">
        <v>-20</v>
      </c>
      <c r="E16" s="60"/>
      <c r="F16" s="60"/>
      <c r="G16" s="59"/>
      <c r="I16" s="60"/>
      <c r="J16" s="60"/>
      <c r="K16" s="86"/>
    </row>
    <row r="17" spans="1:12" x14ac:dyDescent="0.15">
      <c r="A17" s="73">
        <v>14</v>
      </c>
      <c r="B17" s="95">
        <v>45547</v>
      </c>
      <c r="C17" s="62">
        <v>0.64722222222222225</v>
      </c>
      <c r="D17" s="1">
        <v>-25</v>
      </c>
      <c r="E17" s="59"/>
      <c r="F17" s="59"/>
      <c r="G17" s="59"/>
      <c r="I17" s="86"/>
      <c r="J17" s="86"/>
      <c r="K17" s="86"/>
    </row>
    <row r="18" spans="1:12" x14ac:dyDescent="0.15">
      <c r="A18" s="73">
        <v>15</v>
      </c>
      <c r="B18" s="95">
        <v>45547</v>
      </c>
      <c r="C18" s="62">
        <v>0.70277777777777783</v>
      </c>
      <c r="D18" s="1">
        <v>-30</v>
      </c>
      <c r="E18" s="59"/>
      <c r="F18" s="59"/>
      <c r="G18" s="59"/>
      <c r="I18" s="86"/>
      <c r="J18" s="86"/>
      <c r="K18" s="86"/>
    </row>
    <row r="20" spans="1:12" x14ac:dyDescent="0.15">
      <c r="B20" s="95">
        <v>45546</v>
      </c>
      <c r="C20" s="98">
        <v>0.68541666666666667</v>
      </c>
      <c r="D20" s="1">
        <v>70</v>
      </c>
      <c r="E20" s="96"/>
      <c r="F20" s="96"/>
      <c r="G20" s="96"/>
      <c r="I20" s="89"/>
      <c r="J20" s="89"/>
      <c r="K20" s="89"/>
      <c r="L20" t="s">
        <v>34</v>
      </c>
    </row>
    <row r="21" spans="1:12" x14ac:dyDescent="0.15">
      <c r="B21" s="95">
        <v>45547</v>
      </c>
      <c r="C21" s="62">
        <v>0.4368055555555555</v>
      </c>
      <c r="D21" s="1">
        <v>0</v>
      </c>
      <c r="E21" s="96"/>
      <c r="F21" s="96"/>
      <c r="G21" s="96"/>
      <c r="I21" s="89"/>
      <c r="J21" s="89"/>
      <c r="K21" s="89"/>
      <c r="L21" t="s">
        <v>35</v>
      </c>
    </row>
    <row r="22" spans="1:12" x14ac:dyDescent="0.15">
      <c r="B22" s="95">
        <v>45547</v>
      </c>
      <c r="C22" s="62">
        <v>0.59722222222222221</v>
      </c>
      <c r="D22" s="1">
        <v>-20</v>
      </c>
      <c r="E22" s="99"/>
      <c r="F22" s="99"/>
      <c r="G22" s="99"/>
      <c r="I22" s="99"/>
      <c r="J22" s="99"/>
      <c r="K22" s="99"/>
      <c r="L22" t="s">
        <v>36</v>
      </c>
    </row>
    <row r="26" spans="1:12" ht="42.75" customHeight="1" x14ac:dyDescent="0.15">
      <c r="C26" t="s">
        <v>28</v>
      </c>
      <c r="D26" s="58"/>
    </row>
    <row r="27" spans="1:12" x14ac:dyDescent="0.15">
      <c r="C27" t="s">
        <v>29</v>
      </c>
      <c r="D27" s="58"/>
    </row>
    <row r="28" spans="1:12" x14ac:dyDescent="0.15">
      <c r="D28" s="58"/>
    </row>
    <row r="29" spans="1:12" x14ac:dyDescent="0.15">
      <c r="D29" s="58"/>
    </row>
    <row r="30" spans="1:12" x14ac:dyDescent="0.15">
      <c r="C30" t="s">
        <v>30</v>
      </c>
      <c r="D30" s="58"/>
    </row>
  </sheetData>
  <mergeCells count="3">
    <mergeCell ref="E2:G2"/>
    <mergeCell ref="I2:K2"/>
    <mergeCell ref="H1:H1048576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</vt:lpstr>
      <vt:lpstr>C单头4支-34-37</vt:lpstr>
      <vt:lpstr>D单头4支-38-41</vt:lpstr>
      <vt:lpstr>E单头2支-43,44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2025-06-26T10:50:21Z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2D37391C9EBB455FB626A56398873E32_12</vt:lpwstr>
  </property>
  <property fmtid="{D5CDD505-2E9C-101B-9397-08002B2CF9AE}" pid="3" name="KSOProductBuildVer">
    <vt:lpwstr>2052-12.1.0.16729</vt:lpwstr>
  </property>
</Properties>
</file>